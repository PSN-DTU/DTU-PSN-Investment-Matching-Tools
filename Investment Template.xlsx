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pom\Desktop\Inv\"/>
    </mc:Choice>
  </mc:AlternateContent>
  <xr:revisionPtr revIDLastSave="0" documentId="8_{2C84EA86-33B3-4A17-913C-524FB491D97E}" xr6:coauthVersionLast="47" xr6:coauthVersionMax="47" xr10:uidLastSave="{00000000-0000-0000-0000-000000000000}"/>
  <bookViews>
    <workbookView xWindow="-28920" yWindow="-120" windowWidth="29040" windowHeight="15720" tabRatio="745" xr2:uid="{8540E115-9F96-4FE4-8DD1-E8CF9E588A05}"/>
  </bookViews>
  <sheets>
    <sheet name="2026 Summary" sheetId="13" r:id="rId1"/>
    <sheet name="Jan 2026" sheetId="1" r:id="rId2"/>
    <sheet name="Feb 2026" sheetId="2" r:id="rId3"/>
    <sheet name="Mar 2026" sheetId="3" r:id="rId4"/>
    <sheet name="Apr 2026" sheetId="4" r:id="rId5"/>
    <sheet name="May 2026" sheetId="5" r:id="rId6"/>
    <sheet name="Jun 2026" sheetId="6" r:id="rId7"/>
    <sheet name="Jul 2026" sheetId="7" r:id="rId8"/>
    <sheet name="Aug 2026" sheetId="8" r:id="rId9"/>
    <sheet name="Sep 2026" sheetId="9" r:id="rId10"/>
    <sheet name="Oct 2026" sheetId="10" r:id="rId11"/>
    <sheet name="Nov 2026" sheetId="11" r:id="rId12"/>
    <sheet name="Dec 2026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8" i="13" l="1"/>
  <c r="L18" i="13"/>
  <c r="K18" i="13"/>
  <c r="J18" i="13"/>
  <c r="I18" i="13"/>
  <c r="H18" i="13"/>
  <c r="G18" i="13"/>
  <c r="F18" i="13"/>
  <c r="E18" i="13"/>
  <c r="D18" i="13"/>
  <c r="C18" i="13"/>
  <c r="B18" i="13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F2" i="12" a="1"/>
  <c r="M13" i="8"/>
  <c r="B10" i="13" s="1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77" i="13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366" i="13"/>
  <c r="AA367" i="13"/>
  <c r="AA368" i="13"/>
  <c r="AA369" i="13"/>
  <c r="AA370" i="13"/>
  <c r="AA371" i="13"/>
  <c r="AA372" i="13"/>
  <c r="AA373" i="13"/>
  <c r="AA374" i="13"/>
  <c r="AA375" i="13"/>
  <c r="AA376" i="13"/>
  <c r="AA377" i="13"/>
  <c r="AA378" i="13"/>
  <c r="AA379" i="13"/>
  <c r="AA380" i="13"/>
  <c r="AA381" i="13"/>
  <c r="AA382" i="13"/>
  <c r="AA383" i="13"/>
  <c r="AA384" i="13"/>
  <c r="AA385" i="13"/>
  <c r="AA386" i="13"/>
  <c r="AA387" i="13"/>
  <c r="AA388" i="13"/>
  <c r="AA389" i="13"/>
  <c r="AA390" i="13"/>
  <c r="AA391" i="13"/>
  <c r="AA392" i="13"/>
  <c r="AA393" i="13"/>
  <c r="AA394" i="13"/>
  <c r="AA395" i="13"/>
  <c r="AA396" i="13"/>
  <c r="AA397" i="13"/>
  <c r="AA398" i="13"/>
  <c r="AA1179" i="13"/>
  <c r="AA1180" i="13"/>
  <c r="AA1181" i="13"/>
  <c r="AA1182" i="13"/>
  <c r="AA1183" i="13"/>
  <c r="AA1184" i="13"/>
  <c r="AA1185" i="13"/>
  <c r="AA1186" i="13"/>
  <c r="AA1187" i="13"/>
  <c r="AA1188" i="13"/>
  <c r="AA1189" i="13"/>
  <c r="AA1190" i="13"/>
  <c r="AA1191" i="13"/>
  <c r="AA1192" i="13"/>
  <c r="AA1193" i="13"/>
  <c r="AA1194" i="13"/>
  <c r="AA1195" i="13"/>
  <c r="AA1196" i="13"/>
  <c r="AA1197" i="13"/>
  <c r="AA1198" i="13"/>
  <c r="AA1199" i="13"/>
  <c r="AA1200" i="13"/>
  <c r="AA1201" i="13"/>
  <c r="AA1202" i="13"/>
  <c r="AA1073" i="13"/>
  <c r="AA1074" i="13"/>
  <c r="AA1075" i="13"/>
  <c r="AA1076" i="13"/>
  <c r="AA1077" i="13"/>
  <c r="AA1078" i="13"/>
  <c r="AA1079" i="13"/>
  <c r="AA1080" i="13"/>
  <c r="AA1081" i="13"/>
  <c r="AA1082" i="13"/>
  <c r="AA1083" i="13"/>
  <c r="AA1084" i="13"/>
  <c r="AA1085" i="13"/>
  <c r="AA1086" i="13"/>
  <c r="AA1087" i="13"/>
  <c r="AA1088" i="13"/>
  <c r="AA1089" i="13"/>
  <c r="AA1090" i="13"/>
  <c r="AA1091" i="13"/>
  <c r="AA1092" i="13"/>
  <c r="AA1093" i="13"/>
  <c r="AA1094" i="13"/>
  <c r="AA1095" i="13"/>
  <c r="AA1096" i="13"/>
  <c r="AA1097" i="13"/>
  <c r="AA1098" i="13"/>
  <c r="AA1099" i="13"/>
  <c r="AA1100" i="13"/>
  <c r="AA1101" i="13"/>
  <c r="AA966" i="13"/>
  <c r="AA967" i="13"/>
  <c r="AA968" i="13"/>
  <c r="AA969" i="13"/>
  <c r="AA970" i="13"/>
  <c r="AA971" i="13"/>
  <c r="AA972" i="13"/>
  <c r="AA973" i="13"/>
  <c r="AA974" i="13"/>
  <c r="AA975" i="13"/>
  <c r="AA976" i="13"/>
  <c r="AA977" i="13"/>
  <c r="AA978" i="13"/>
  <c r="AA979" i="13"/>
  <c r="AA980" i="13"/>
  <c r="AA981" i="13"/>
  <c r="AA982" i="13"/>
  <c r="AA983" i="13"/>
  <c r="AA984" i="13"/>
  <c r="AA985" i="13"/>
  <c r="AA986" i="13"/>
  <c r="AA987" i="13"/>
  <c r="AA988" i="13"/>
  <c r="AA989" i="13"/>
  <c r="AA990" i="13"/>
  <c r="AA991" i="13"/>
  <c r="AA992" i="13"/>
  <c r="AA993" i="13"/>
  <c r="AA994" i="13"/>
  <c r="AA995" i="13"/>
  <c r="AA996" i="13"/>
  <c r="AA997" i="13"/>
  <c r="AA998" i="13"/>
  <c r="AA999" i="13"/>
  <c r="AA1000" i="13"/>
  <c r="AA864" i="13"/>
  <c r="AA865" i="13"/>
  <c r="AA866" i="13"/>
  <c r="AA867" i="13"/>
  <c r="AA868" i="13"/>
  <c r="AA869" i="13"/>
  <c r="AA870" i="13"/>
  <c r="AA871" i="13"/>
  <c r="AA872" i="13"/>
  <c r="AA873" i="13"/>
  <c r="AA874" i="13"/>
  <c r="AA875" i="13"/>
  <c r="AA876" i="13"/>
  <c r="AA877" i="13"/>
  <c r="AA878" i="13"/>
  <c r="AA879" i="13"/>
  <c r="AA880" i="13"/>
  <c r="AA881" i="13"/>
  <c r="AA882" i="13"/>
  <c r="AA883" i="13"/>
  <c r="AA884" i="13"/>
  <c r="AA885" i="13"/>
  <c r="AA886" i="13"/>
  <c r="AA887" i="13"/>
  <c r="AA888" i="13"/>
  <c r="AA889" i="13"/>
  <c r="AA890" i="13"/>
  <c r="AA891" i="13"/>
  <c r="AA892" i="13"/>
  <c r="AA893" i="13"/>
  <c r="AA894" i="13"/>
  <c r="AA895" i="13"/>
  <c r="AA896" i="13"/>
  <c r="AA897" i="13"/>
  <c r="AA898" i="13"/>
  <c r="AA899" i="13"/>
  <c r="AA797" i="13"/>
  <c r="AA798" i="13"/>
  <c r="AA766" i="13"/>
  <c r="AA767" i="13"/>
  <c r="AA768" i="13"/>
  <c r="AA769" i="13"/>
  <c r="AA770" i="13"/>
  <c r="AA771" i="13"/>
  <c r="AA772" i="13"/>
  <c r="AA773" i="13"/>
  <c r="AA774" i="13"/>
  <c r="AA775" i="13"/>
  <c r="AA776" i="13"/>
  <c r="AA777" i="13"/>
  <c r="AA778" i="13"/>
  <c r="AA779" i="13"/>
  <c r="AA780" i="13"/>
  <c r="AA781" i="13"/>
  <c r="AA782" i="13"/>
  <c r="AA783" i="13"/>
  <c r="AA784" i="13"/>
  <c r="AA785" i="13"/>
  <c r="AA786" i="13"/>
  <c r="AA787" i="13"/>
  <c r="AA788" i="13"/>
  <c r="AA789" i="13"/>
  <c r="AA790" i="13"/>
  <c r="AA791" i="13"/>
  <c r="AA792" i="13"/>
  <c r="AA793" i="13"/>
  <c r="AA794" i="13"/>
  <c r="AA795" i="13"/>
  <c r="AA796" i="13"/>
  <c r="AA666" i="13"/>
  <c r="AA667" i="13"/>
  <c r="AA668" i="13"/>
  <c r="AA669" i="13"/>
  <c r="AA670" i="13"/>
  <c r="AA671" i="13"/>
  <c r="AA672" i="13"/>
  <c r="AA673" i="13"/>
  <c r="AA674" i="13"/>
  <c r="AA675" i="13"/>
  <c r="AA676" i="13"/>
  <c r="AA677" i="13"/>
  <c r="AA678" i="13"/>
  <c r="AA679" i="13"/>
  <c r="AA680" i="13"/>
  <c r="AA681" i="13"/>
  <c r="AA682" i="13"/>
  <c r="AA683" i="13"/>
  <c r="AA684" i="13"/>
  <c r="AA685" i="13"/>
  <c r="AA686" i="13"/>
  <c r="AA687" i="13"/>
  <c r="AA688" i="13"/>
  <c r="AA689" i="13"/>
  <c r="AA690" i="13"/>
  <c r="AA691" i="13"/>
  <c r="AA692" i="13"/>
  <c r="AA693" i="13"/>
  <c r="AA694" i="13"/>
  <c r="AA695" i="13"/>
  <c r="AA696" i="13"/>
  <c r="AA697" i="13"/>
  <c r="AA594" i="13"/>
  <c r="AA595" i="13"/>
  <c r="AA596" i="13"/>
  <c r="AA597" i="13"/>
  <c r="AA598" i="13"/>
  <c r="AA565" i="13"/>
  <c r="AA566" i="13"/>
  <c r="AA567" i="13"/>
  <c r="AA568" i="13"/>
  <c r="AA569" i="13"/>
  <c r="AA570" i="13"/>
  <c r="AA571" i="13"/>
  <c r="AA572" i="13"/>
  <c r="AA573" i="13"/>
  <c r="AA574" i="13"/>
  <c r="AA575" i="13"/>
  <c r="AA576" i="13"/>
  <c r="AA577" i="13"/>
  <c r="AA578" i="13"/>
  <c r="AA579" i="13"/>
  <c r="AA580" i="13"/>
  <c r="AA581" i="13"/>
  <c r="AA582" i="13"/>
  <c r="AA583" i="13"/>
  <c r="AA584" i="13"/>
  <c r="AA585" i="13"/>
  <c r="AA586" i="13"/>
  <c r="AA587" i="13"/>
  <c r="AA588" i="13"/>
  <c r="AA589" i="13"/>
  <c r="AA590" i="13"/>
  <c r="AA591" i="13"/>
  <c r="AA592" i="13"/>
  <c r="AA593" i="13"/>
  <c r="AA468" i="13"/>
  <c r="AA469" i="13"/>
  <c r="AA470" i="13"/>
  <c r="AA471" i="13"/>
  <c r="AA472" i="13"/>
  <c r="AA473" i="13"/>
  <c r="AA474" i="13"/>
  <c r="AA475" i="13"/>
  <c r="AA476" i="13"/>
  <c r="AA477" i="13"/>
  <c r="AA478" i="13"/>
  <c r="AA479" i="13"/>
  <c r="AA480" i="13"/>
  <c r="AA481" i="13"/>
  <c r="AA482" i="13"/>
  <c r="AA483" i="13"/>
  <c r="AA484" i="13"/>
  <c r="AA485" i="13"/>
  <c r="AA486" i="13"/>
  <c r="AA487" i="13"/>
  <c r="AA488" i="13"/>
  <c r="AA489" i="13"/>
  <c r="AA490" i="13"/>
  <c r="AA491" i="13"/>
  <c r="AA492" i="13"/>
  <c r="AA493" i="13"/>
  <c r="AA494" i="13"/>
  <c r="AA495" i="13"/>
  <c r="AA496" i="13"/>
  <c r="AA497" i="13"/>
  <c r="AA498" i="13"/>
  <c r="AA499" i="13"/>
  <c r="F2" i="1" a="1"/>
  <c r="AA1175" i="13"/>
  <c r="M13" i="12"/>
  <c r="B14" i="13" s="1"/>
  <c r="N10" i="12"/>
  <c r="F14" i="13" s="1"/>
  <c r="N9" i="12"/>
  <c r="E14" i="13" s="1"/>
  <c r="N8" i="12"/>
  <c r="D14" i="13" s="1"/>
  <c r="N3" i="12"/>
  <c r="G14" i="13" s="1"/>
  <c r="N2" i="12"/>
  <c r="F2" i="11" a="1"/>
  <c r="M13" i="11"/>
  <c r="B13" i="13" s="1"/>
  <c r="N10" i="11"/>
  <c r="F13" i="13" s="1"/>
  <c r="N9" i="11"/>
  <c r="E13" i="13" s="1"/>
  <c r="N8" i="11"/>
  <c r="D13" i="13" s="1"/>
  <c r="N3" i="11"/>
  <c r="G13" i="13" s="1"/>
  <c r="N2" i="11"/>
  <c r="M13" i="10"/>
  <c r="B12" i="13" s="1"/>
  <c r="N10" i="10"/>
  <c r="F12" i="13" s="1"/>
  <c r="N9" i="10"/>
  <c r="E12" i="13" s="1"/>
  <c r="N8" i="10"/>
  <c r="D12" i="13" s="1"/>
  <c r="N3" i="10"/>
  <c r="G12" i="13" s="1"/>
  <c r="N2" i="10"/>
  <c r="F2" i="10" a="1"/>
  <c r="G58" i="10" s="1"/>
  <c r="M13" i="9"/>
  <c r="B11" i="13" s="1"/>
  <c r="N10" i="9"/>
  <c r="F11" i="13" s="1"/>
  <c r="N9" i="9"/>
  <c r="E11" i="13" s="1"/>
  <c r="N8" i="9"/>
  <c r="D11" i="13" s="1"/>
  <c r="N3" i="9"/>
  <c r="G11" i="13" s="1"/>
  <c r="N2" i="9"/>
  <c r="F2" i="9" a="1"/>
  <c r="G59" i="9" s="1"/>
  <c r="N10" i="8"/>
  <c r="F10" i="13" s="1"/>
  <c r="N9" i="8"/>
  <c r="E10" i="13" s="1"/>
  <c r="N8" i="8"/>
  <c r="D10" i="13" s="1"/>
  <c r="N3" i="8"/>
  <c r="G10" i="13" s="1"/>
  <c r="N2" i="8"/>
  <c r="F2" i="8" a="1"/>
  <c r="F2" i="7" a="1"/>
  <c r="G61" i="7" s="1"/>
  <c r="M13" i="7"/>
  <c r="B9" i="13" s="1"/>
  <c r="N10" i="7"/>
  <c r="F9" i="13" s="1"/>
  <c r="N9" i="7"/>
  <c r="E9" i="13" s="1"/>
  <c r="N8" i="7"/>
  <c r="D9" i="13" s="1"/>
  <c r="N3" i="7"/>
  <c r="G9" i="13" s="1"/>
  <c r="N2" i="7"/>
  <c r="M13" i="6"/>
  <c r="B8" i="13" s="1"/>
  <c r="N10" i="6"/>
  <c r="F8" i="13" s="1"/>
  <c r="N9" i="6"/>
  <c r="E8" i="13" s="1"/>
  <c r="N8" i="6"/>
  <c r="D8" i="13" s="1"/>
  <c r="N2" i="6"/>
  <c r="F2" i="6" a="1"/>
  <c r="F2" i="5" a="1"/>
  <c r="AA467" i="13" s="1"/>
  <c r="M13" i="5"/>
  <c r="B7" i="13" s="1"/>
  <c r="N10" i="5"/>
  <c r="F7" i="13" s="1"/>
  <c r="N9" i="5"/>
  <c r="E7" i="13" s="1"/>
  <c r="N8" i="5"/>
  <c r="D7" i="13" s="1"/>
  <c r="N3" i="5"/>
  <c r="G7" i="13" s="1"/>
  <c r="N2" i="5"/>
  <c r="M13" i="4"/>
  <c r="B6" i="13" s="1"/>
  <c r="N10" i="4"/>
  <c r="F6" i="13" s="1"/>
  <c r="N9" i="4"/>
  <c r="E6" i="13" s="1"/>
  <c r="N8" i="4"/>
  <c r="D6" i="13" s="1"/>
  <c r="N3" i="4"/>
  <c r="G6" i="13" s="1"/>
  <c r="N2" i="4"/>
  <c r="F2" i="4" a="1"/>
  <c r="G62" i="4" s="1"/>
  <c r="F2" i="3" a="1"/>
  <c r="F2" i="3" s="1"/>
  <c r="M13" i="3"/>
  <c r="B5" i="13" s="1"/>
  <c r="N10" i="3"/>
  <c r="F5" i="13" s="1"/>
  <c r="N9" i="3"/>
  <c r="E5" i="13" s="1"/>
  <c r="N8" i="3"/>
  <c r="D5" i="13" s="1"/>
  <c r="N2" i="3"/>
  <c r="F2" i="2" a="1"/>
  <c r="G62" i="2" s="1"/>
  <c r="M13" i="2"/>
  <c r="B4" i="13" s="1"/>
  <c r="N10" i="2"/>
  <c r="F4" i="13" s="1"/>
  <c r="N9" i="2"/>
  <c r="E4" i="13" s="1"/>
  <c r="N8" i="2"/>
  <c r="D4" i="13" s="1"/>
  <c r="N2" i="2"/>
  <c r="M13" i="1"/>
  <c r="B3" i="13" s="1"/>
  <c r="N10" i="1"/>
  <c r="F3" i="13" s="1"/>
  <c r="N9" i="1"/>
  <c r="E3" i="13" s="1"/>
  <c r="N8" i="1"/>
  <c r="D3" i="13" s="1"/>
  <c r="N2" i="1"/>
  <c r="F2" i="12" l="1"/>
  <c r="G59" i="12"/>
  <c r="G28" i="11"/>
  <c r="G59" i="11"/>
  <c r="G59" i="8"/>
  <c r="G60" i="8"/>
  <c r="G9" i="6"/>
  <c r="G62" i="6"/>
  <c r="G64" i="4"/>
  <c r="G61" i="1"/>
  <c r="G62" i="1"/>
  <c r="AA64" i="13"/>
  <c r="AA63" i="13"/>
  <c r="G3" i="1"/>
  <c r="G60" i="1"/>
  <c r="AA62" i="13"/>
  <c r="G29" i="10"/>
  <c r="G57" i="10"/>
  <c r="G58" i="11"/>
  <c r="G59" i="1"/>
  <c r="G62" i="3"/>
  <c r="G2" i="3"/>
  <c r="C5" i="13"/>
  <c r="G63" i="4"/>
  <c r="G63" i="5"/>
  <c r="G61" i="6"/>
  <c r="B15" i="13"/>
  <c r="G33" i="12"/>
  <c r="G57" i="12"/>
  <c r="G44" i="12"/>
  <c r="G55" i="12"/>
  <c r="G43" i="12"/>
  <c r="G54" i="12"/>
  <c r="G42" i="12"/>
  <c r="G53" i="12"/>
  <c r="G41" i="12"/>
  <c r="G52" i="12"/>
  <c r="G51" i="12"/>
  <c r="G39" i="12"/>
  <c r="G50" i="12"/>
  <c r="G38" i="12"/>
  <c r="G45" i="12"/>
  <c r="G56" i="12"/>
  <c r="G40" i="12"/>
  <c r="G49" i="12"/>
  <c r="G37" i="12"/>
  <c r="G48" i="12"/>
  <c r="G36" i="12"/>
  <c r="G47" i="12"/>
  <c r="G35" i="12"/>
  <c r="G58" i="12"/>
  <c r="G46" i="12"/>
  <c r="G34" i="12"/>
  <c r="G32" i="12"/>
  <c r="G31" i="12"/>
  <c r="G38" i="11"/>
  <c r="G50" i="11"/>
  <c r="G49" i="11"/>
  <c r="G37" i="11"/>
  <c r="G36" i="11"/>
  <c r="G48" i="11"/>
  <c r="G47" i="11"/>
  <c r="G35" i="11"/>
  <c r="G46" i="11"/>
  <c r="G34" i="11"/>
  <c r="G57" i="11"/>
  <c r="G45" i="11"/>
  <c r="G33" i="11"/>
  <c r="G56" i="11"/>
  <c r="G44" i="11"/>
  <c r="G32" i="11"/>
  <c r="G55" i="11"/>
  <c r="G43" i="11"/>
  <c r="G31" i="11"/>
  <c r="G54" i="11"/>
  <c r="G42" i="11"/>
  <c r="G30" i="11"/>
  <c r="G39" i="11"/>
  <c r="G53" i="11"/>
  <c r="G41" i="11"/>
  <c r="G29" i="11"/>
  <c r="G51" i="11"/>
  <c r="G52" i="11"/>
  <c r="G40" i="11"/>
  <c r="AA1178" i="13"/>
  <c r="AA1177" i="13"/>
  <c r="AA1176" i="13"/>
  <c r="AA1172" i="13"/>
  <c r="AA1174" i="13"/>
  <c r="AA1173" i="13"/>
  <c r="AA1171" i="13"/>
  <c r="AA1170" i="13"/>
  <c r="AA1163" i="13"/>
  <c r="AA1169" i="13"/>
  <c r="AA1162" i="13"/>
  <c r="AA1168" i="13"/>
  <c r="AA1161" i="13"/>
  <c r="AA1167" i="13"/>
  <c r="AA1158" i="13"/>
  <c r="AA1160" i="13"/>
  <c r="AA1166" i="13"/>
  <c r="AA1165" i="13"/>
  <c r="AA1159" i="13"/>
  <c r="AA1164" i="13"/>
  <c r="AA1153" i="13"/>
  <c r="AA1154" i="13"/>
  <c r="AA1155" i="13"/>
  <c r="AA1156" i="13"/>
  <c r="AA1157" i="13"/>
  <c r="AA1150" i="13"/>
  <c r="AA1151" i="13"/>
  <c r="AA1152" i="13"/>
  <c r="AA1146" i="13"/>
  <c r="AA1149" i="13"/>
  <c r="AA1148" i="13"/>
  <c r="AA1147" i="13"/>
  <c r="AA1143" i="13"/>
  <c r="AA1145" i="13"/>
  <c r="AA1144" i="13"/>
  <c r="AA1140" i="13"/>
  <c r="AA1142" i="13"/>
  <c r="AA1141" i="13"/>
  <c r="AA1138" i="13"/>
  <c r="AA1139" i="13"/>
  <c r="AA1135" i="13"/>
  <c r="AA1137" i="13"/>
  <c r="AA1136" i="13"/>
  <c r="AA1133" i="13"/>
  <c r="AA1134" i="13"/>
  <c r="AA1070" i="13"/>
  <c r="AA1071" i="13"/>
  <c r="AA1072" i="13"/>
  <c r="AA1067" i="13"/>
  <c r="AA1068" i="13"/>
  <c r="AA1069" i="13"/>
  <c r="AA1065" i="13"/>
  <c r="AA1066" i="13"/>
  <c r="AA1063" i="13"/>
  <c r="AA1064" i="13"/>
  <c r="AA1060" i="13"/>
  <c r="AA1061" i="13"/>
  <c r="AA1062" i="13"/>
  <c r="AA1056" i="13"/>
  <c r="AA1057" i="13"/>
  <c r="AA1058" i="13"/>
  <c r="AA1059" i="13"/>
  <c r="AA1051" i="13"/>
  <c r="AA1055" i="13"/>
  <c r="AA1054" i="13"/>
  <c r="AA1053" i="13"/>
  <c r="AA1052" i="13"/>
  <c r="AA1047" i="13"/>
  <c r="AA1048" i="13"/>
  <c r="AA1049" i="13"/>
  <c r="AA1050" i="13"/>
  <c r="AA1044" i="13"/>
  <c r="AA1046" i="13"/>
  <c r="AA1045" i="13"/>
  <c r="AA1041" i="13"/>
  <c r="AA1042" i="13"/>
  <c r="AA1043" i="13"/>
  <c r="AA1039" i="13"/>
  <c r="AA1040" i="13"/>
  <c r="AA1035" i="13"/>
  <c r="AA1038" i="13"/>
  <c r="AA1037" i="13"/>
  <c r="AA1036" i="13"/>
  <c r="AA1033" i="13"/>
  <c r="AA1034" i="13"/>
  <c r="AA1031" i="13"/>
  <c r="AA1032" i="13"/>
  <c r="AA1029" i="13"/>
  <c r="AA1030" i="13"/>
  <c r="F2" i="11"/>
  <c r="C13" i="13" s="1"/>
  <c r="AA1003" i="13"/>
  <c r="AA1015" i="13"/>
  <c r="AA1027" i="13"/>
  <c r="G3" i="11"/>
  <c r="G15" i="11"/>
  <c r="G27" i="11"/>
  <c r="AA1004" i="13"/>
  <c r="AA1016" i="13"/>
  <c r="AA1028" i="13"/>
  <c r="G4" i="11"/>
  <c r="G16" i="11"/>
  <c r="AA1005" i="13"/>
  <c r="AA1017" i="13"/>
  <c r="G5" i="11"/>
  <c r="G17" i="11"/>
  <c r="G25" i="11"/>
  <c r="G13" i="11"/>
  <c r="AA1025" i="13"/>
  <c r="AA1013" i="13"/>
  <c r="G26" i="11"/>
  <c r="G12" i="11"/>
  <c r="AA1024" i="13"/>
  <c r="AA1012" i="13"/>
  <c r="G24" i="11"/>
  <c r="G11" i="11"/>
  <c r="AA1023" i="13"/>
  <c r="AA1011" i="13"/>
  <c r="G23" i="11"/>
  <c r="G10" i="11"/>
  <c r="AA1022" i="13"/>
  <c r="AA1010" i="13"/>
  <c r="G22" i="11"/>
  <c r="G21" i="11"/>
  <c r="G9" i="11"/>
  <c r="AA1021" i="13"/>
  <c r="AA1009" i="13"/>
  <c r="G14" i="11"/>
  <c r="AA1014" i="13"/>
  <c r="G20" i="11"/>
  <c r="G8" i="11"/>
  <c r="AA1020" i="13"/>
  <c r="AA1008" i="13"/>
  <c r="G19" i="11"/>
  <c r="G7" i="11"/>
  <c r="AA1019" i="13"/>
  <c r="AA1007" i="13"/>
  <c r="AA1026" i="13"/>
  <c r="G18" i="11"/>
  <c r="G6" i="11"/>
  <c r="AA1018" i="13"/>
  <c r="AA1006" i="13"/>
  <c r="G52" i="10"/>
  <c r="G40" i="10"/>
  <c r="G39" i="10"/>
  <c r="G50" i="10"/>
  <c r="G38" i="10"/>
  <c r="G49" i="10"/>
  <c r="G37" i="10"/>
  <c r="G51" i="10"/>
  <c r="G48" i="10"/>
  <c r="G36" i="10"/>
  <c r="G47" i="10"/>
  <c r="G35" i="10"/>
  <c r="G46" i="10"/>
  <c r="G34" i="10"/>
  <c r="G45" i="10"/>
  <c r="G33" i="10"/>
  <c r="G56" i="10"/>
  <c r="G44" i="10"/>
  <c r="G32" i="10"/>
  <c r="G55" i="10"/>
  <c r="G43" i="10"/>
  <c r="G31" i="10"/>
  <c r="G54" i="10"/>
  <c r="G42" i="10"/>
  <c r="G30" i="10"/>
  <c r="G53" i="10"/>
  <c r="G41" i="10"/>
  <c r="G32" i="6"/>
  <c r="G8" i="6"/>
  <c r="G31" i="6"/>
  <c r="G55" i="6"/>
  <c r="G42" i="6"/>
  <c r="G30" i="6"/>
  <c r="G18" i="6"/>
  <c r="G6" i="6"/>
  <c r="G43" i="6"/>
  <c r="G54" i="6"/>
  <c r="G41" i="6"/>
  <c r="G29" i="6"/>
  <c r="G5" i="6"/>
  <c r="G57" i="6"/>
  <c r="G56" i="6"/>
  <c r="G17" i="6"/>
  <c r="G20" i="6"/>
  <c r="G7" i="6"/>
  <c r="G28" i="6"/>
  <c r="G51" i="6"/>
  <c r="G39" i="6"/>
  <c r="G27" i="6"/>
  <c r="G15" i="6"/>
  <c r="G3" i="6"/>
  <c r="G19" i="6"/>
  <c r="G52" i="6"/>
  <c r="G40" i="6"/>
  <c r="G16" i="6"/>
  <c r="G4" i="6"/>
  <c r="G50" i="6"/>
  <c r="G38" i="6"/>
  <c r="G26" i="6"/>
  <c r="G14" i="6"/>
  <c r="G49" i="6"/>
  <c r="G37" i="6"/>
  <c r="G25" i="6"/>
  <c r="G13" i="6"/>
  <c r="G44" i="6"/>
  <c r="G53" i="6"/>
  <c r="G48" i="6"/>
  <c r="G36" i="6"/>
  <c r="G24" i="6"/>
  <c r="G12" i="6"/>
  <c r="G60" i="6"/>
  <c r="G47" i="6"/>
  <c r="G35" i="6"/>
  <c r="G23" i="6"/>
  <c r="G11" i="6"/>
  <c r="G59" i="6"/>
  <c r="G46" i="6"/>
  <c r="G34" i="6"/>
  <c r="G22" i="6"/>
  <c r="G10" i="6"/>
  <c r="G58" i="6"/>
  <c r="G45" i="6"/>
  <c r="G33" i="6"/>
  <c r="G21" i="6"/>
  <c r="G49" i="5"/>
  <c r="G60" i="5"/>
  <c r="G48" i="5"/>
  <c r="G36" i="5"/>
  <c r="G61" i="5"/>
  <c r="G37" i="5"/>
  <c r="G35" i="5"/>
  <c r="G59" i="5"/>
  <c r="G47" i="5"/>
  <c r="G58" i="5"/>
  <c r="G46" i="5"/>
  <c r="G34" i="5"/>
  <c r="G57" i="5"/>
  <c r="G45" i="5"/>
  <c r="G33" i="5"/>
  <c r="G56" i="5"/>
  <c r="G44" i="5"/>
  <c r="G32" i="5"/>
  <c r="G55" i="5"/>
  <c r="G43" i="5"/>
  <c r="G31" i="5"/>
  <c r="G54" i="5"/>
  <c r="G42" i="5"/>
  <c r="G30" i="5"/>
  <c r="G53" i="5"/>
  <c r="G41" i="5"/>
  <c r="G52" i="5"/>
  <c r="G40" i="5"/>
  <c r="G51" i="5"/>
  <c r="G39" i="5"/>
  <c r="G62" i="5"/>
  <c r="G50" i="5"/>
  <c r="G38" i="5"/>
  <c r="AA964" i="13"/>
  <c r="AA965" i="13"/>
  <c r="AA960" i="13"/>
  <c r="AA963" i="13"/>
  <c r="AA962" i="13"/>
  <c r="AA961" i="13"/>
  <c r="AA957" i="13"/>
  <c r="AA958" i="13"/>
  <c r="AA959" i="13"/>
  <c r="AA953" i="13"/>
  <c r="AA954" i="13"/>
  <c r="AA955" i="13"/>
  <c r="AA956" i="13"/>
  <c r="AA951" i="13"/>
  <c r="AA952" i="13"/>
  <c r="AA948" i="13"/>
  <c r="AA949" i="13"/>
  <c r="AA950" i="13"/>
  <c r="AA944" i="13"/>
  <c r="AA945" i="13"/>
  <c r="AA946" i="13"/>
  <c r="AA947" i="13"/>
  <c r="AA942" i="13"/>
  <c r="AA943" i="13"/>
  <c r="AA934" i="13"/>
  <c r="AA940" i="13"/>
  <c r="AA941" i="13"/>
  <c r="AA939" i="13"/>
  <c r="AA938" i="13"/>
  <c r="AA937" i="13"/>
  <c r="AA936" i="13"/>
  <c r="AA935" i="13"/>
  <c r="AA931" i="13"/>
  <c r="AA932" i="13"/>
  <c r="AA933" i="13"/>
  <c r="AA929" i="13"/>
  <c r="AA930" i="13"/>
  <c r="F2" i="10"/>
  <c r="C12" i="13" s="1"/>
  <c r="AA913" i="13"/>
  <c r="AA925" i="13"/>
  <c r="G13" i="10"/>
  <c r="G25" i="10"/>
  <c r="G14" i="10"/>
  <c r="G26" i="10"/>
  <c r="AA902" i="13"/>
  <c r="AA914" i="13"/>
  <c r="AA926" i="13"/>
  <c r="AA903" i="13"/>
  <c r="AA915" i="13"/>
  <c r="AA927" i="13"/>
  <c r="G3" i="10"/>
  <c r="G15" i="10"/>
  <c r="G27" i="10"/>
  <c r="AA904" i="13"/>
  <c r="AA916" i="13"/>
  <c r="AA928" i="13"/>
  <c r="G4" i="10"/>
  <c r="G16" i="10"/>
  <c r="G28" i="10"/>
  <c r="G17" i="10"/>
  <c r="G12" i="10"/>
  <c r="AA905" i="13"/>
  <c r="AA917" i="13"/>
  <c r="G5" i="10"/>
  <c r="G24" i="10"/>
  <c r="AA906" i="13"/>
  <c r="AA918" i="13"/>
  <c r="G6" i="10"/>
  <c r="G18" i="10"/>
  <c r="AA923" i="13"/>
  <c r="AA911" i="13"/>
  <c r="AA924" i="13"/>
  <c r="AA912" i="13"/>
  <c r="G23" i="10"/>
  <c r="G11" i="10"/>
  <c r="G22" i="10"/>
  <c r="G10" i="10"/>
  <c r="AA922" i="13"/>
  <c r="AA910" i="13"/>
  <c r="G21" i="10"/>
  <c r="G9" i="10"/>
  <c r="AA921" i="13"/>
  <c r="AA909" i="13"/>
  <c r="G20" i="10"/>
  <c r="G8" i="10"/>
  <c r="AA920" i="13"/>
  <c r="AA908" i="13"/>
  <c r="G19" i="10"/>
  <c r="G7" i="10"/>
  <c r="AA919" i="13"/>
  <c r="AA907" i="13"/>
  <c r="AA660" i="13"/>
  <c r="G32" i="7"/>
  <c r="G44" i="7"/>
  <c r="G56" i="7"/>
  <c r="G57" i="7"/>
  <c r="G31" i="7"/>
  <c r="G33" i="7"/>
  <c r="G45" i="7"/>
  <c r="G34" i="7"/>
  <c r="G46" i="7"/>
  <c r="G58" i="7"/>
  <c r="G35" i="7"/>
  <c r="G47" i="7"/>
  <c r="G59" i="7"/>
  <c r="G36" i="7"/>
  <c r="G48" i="7"/>
  <c r="G60" i="7"/>
  <c r="G54" i="7"/>
  <c r="G42" i="7"/>
  <c r="G30" i="7"/>
  <c r="G53" i="7"/>
  <c r="G41" i="7"/>
  <c r="G52" i="7"/>
  <c r="G40" i="7"/>
  <c r="G43" i="7"/>
  <c r="G51" i="7"/>
  <c r="G39" i="7"/>
  <c r="G50" i="7"/>
  <c r="G38" i="7"/>
  <c r="G55" i="7"/>
  <c r="G49" i="7"/>
  <c r="G37" i="7"/>
  <c r="AA765" i="13"/>
  <c r="G35" i="8"/>
  <c r="G47" i="8"/>
  <c r="G36" i="8"/>
  <c r="G48" i="8"/>
  <c r="G37" i="8"/>
  <c r="G49" i="8"/>
  <c r="G38" i="8"/>
  <c r="G50" i="8"/>
  <c r="G39" i="8"/>
  <c r="G51" i="8"/>
  <c r="G40" i="8"/>
  <c r="G52" i="8"/>
  <c r="G29" i="8"/>
  <c r="G41" i="8"/>
  <c r="G53" i="8"/>
  <c r="G30" i="8"/>
  <c r="G42" i="8"/>
  <c r="G54" i="8"/>
  <c r="G34" i="8"/>
  <c r="G58" i="8"/>
  <c r="G46" i="8"/>
  <c r="G57" i="8"/>
  <c r="G45" i="8"/>
  <c r="G33" i="8"/>
  <c r="G56" i="8"/>
  <c r="G44" i="8"/>
  <c r="G32" i="8"/>
  <c r="G55" i="8"/>
  <c r="G43" i="8"/>
  <c r="G31" i="8"/>
  <c r="AA855" i="13"/>
  <c r="G30" i="9"/>
  <c r="G42" i="9"/>
  <c r="G54" i="9"/>
  <c r="G31" i="9"/>
  <c r="G43" i="9"/>
  <c r="G55" i="9"/>
  <c r="G32" i="9"/>
  <c r="G44" i="9"/>
  <c r="G56" i="9"/>
  <c r="G52" i="9"/>
  <c r="G40" i="9"/>
  <c r="G51" i="9"/>
  <c r="G39" i="9"/>
  <c r="G50" i="9"/>
  <c r="G38" i="9"/>
  <c r="G48" i="9"/>
  <c r="G36" i="9"/>
  <c r="G47" i="9"/>
  <c r="G35" i="9"/>
  <c r="G41" i="9"/>
  <c r="G49" i="9"/>
  <c r="G58" i="9"/>
  <c r="G46" i="9"/>
  <c r="G34" i="9"/>
  <c r="G53" i="9"/>
  <c r="G37" i="9"/>
  <c r="G57" i="9"/>
  <c r="G45" i="9"/>
  <c r="G33" i="9"/>
  <c r="AA863" i="13"/>
  <c r="AA862" i="13"/>
  <c r="AA861" i="13"/>
  <c r="AA860" i="13"/>
  <c r="AA859" i="13"/>
  <c r="AA858" i="13"/>
  <c r="AA857" i="13"/>
  <c r="AA856" i="13"/>
  <c r="AA852" i="13"/>
  <c r="AA853" i="13"/>
  <c r="AA854" i="13"/>
  <c r="AA841" i="13"/>
  <c r="AA851" i="13"/>
  <c r="AA850" i="13"/>
  <c r="AA849" i="13"/>
  <c r="AA847" i="13"/>
  <c r="AA848" i="13"/>
  <c r="AA846" i="13"/>
  <c r="AA845" i="13"/>
  <c r="AA844" i="13"/>
  <c r="AA843" i="13"/>
  <c r="AA842" i="13"/>
  <c r="AA840" i="13"/>
  <c r="AA839" i="13"/>
  <c r="AA829" i="13"/>
  <c r="AA838" i="13"/>
  <c r="AA837" i="13"/>
  <c r="AA836" i="13"/>
  <c r="AA835" i="13"/>
  <c r="AA834" i="13"/>
  <c r="AA833" i="13"/>
  <c r="AA832" i="13"/>
  <c r="AA831" i="13"/>
  <c r="AA830" i="13"/>
  <c r="F2" i="9"/>
  <c r="C11" i="13" s="1"/>
  <c r="AA805" i="13"/>
  <c r="AA817" i="13"/>
  <c r="G13" i="9"/>
  <c r="G25" i="9"/>
  <c r="AA806" i="13"/>
  <c r="AA818" i="13"/>
  <c r="G14" i="9"/>
  <c r="G26" i="9"/>
  <c r="G10" i="9"/>
  <c r="AA807" i="13"/>
  <c r="AA819" i="13"/>
  <c r="G3" i="9"/>
  <c r="G15" i="9"/>
  <c r="G27" i="9"/>
  <c r="AA812" i="13"/>
  <c r="AA802" i="13"/>
  <c r="AA826" i="13"/>
  <c r="AA808" i="13"/>
  <c r="AA820" i="13"/>
  <c r="G4" i="9"/>
  <c r="G16" i="9"/>
  <c r="G28" i="9"/>
  <c r="G12" i="9"/>
  <c r="AA809" i="13"/>
  <c r="AA821" i="13"/>
  <c r="G5" i="9"/>
  <c r="G17" i="9"/>
  <c r="G29" i="9"/>
  <c r="G22" i="9"/>
  <c r="AA810" i="13"/>
  <c r="AA822" i="13"/>
  <c r="G6" i="9"/>
  <c r="G18" i="9"/>
  <c r="AA824" i="13"/>
  <c r="G8" i="9"/>
  <c r="G20" i="9"/>
  <c r="G9" i="9"/>
  <c r="G21" i="9"/>
  <c r="AA814" i="13"/>
  <c r="AA811" i="13"/>
  <c r="AA823" i="13"/>
  <c r="G7" i="9"/>
  <c r="G19" i="9"/>
  <c r="AA828" i="13"/>
  <c r="AA816" i="13"/>
  <c r="AA804" i="13"/>
  <c r="G23" i="9"/>
  <c r="G11" i="9"/>
  <c r="AA827" i="13"/>
  <c r="AA815" i="13"/>
  <c r="AA803" i="13"/>
  <c r="G24" i="9"/>
  <c r="AA825" i="13"/>
  <c r="AA813" i="13"/>
  <c r="AA801" i="13"/>
  <c r="AA763" i="13"/>
  <c r="AA764" i="13"/>
  <c r="AA761" i="13"/>
  <c r="AA762" i="13"/>
  <c r="AA758" i="13"/>
  <c r="AA759" i="13"/>
  <c r="AA760" i="13"/>
  <c r="AA754" i="13"/>
  <c r="AA755" i="13"/>
  <c r="AA756" i="13"/>
  <c r="AA757" i="13"/>
  <c r="AA749" i="13"/>
  <c r="AA753" i="13"/>
  <c r="AA752" i="13"/>
  <c r="AA751" i="13"/>
  <c r="AA750" i="13"/>
  <c r="AA745" i="13"/>
  <c r="AA746" i="13"/>
  <c r="AA747" i="13"/>
  <c r="AA748" i="13"/>
  <c r="AA743" i="13"/>
  <c r="AA744" i="13"/>
  <c r="AA741" i="13"/>
  <c r="AA742" i="13"/>
  <c r="AA739" i="13"/>
  <c r="AA740" i="13"/>
  <c r="AA736" i="13"/>
  <c r="AA738" i="13"/>
  <c r="AA737" i="13"/>
  <c r="AA733" i="13"/>
  <c r="AA735" i="13"/>
  <c r="AA734" i="13"/>
  <c r="AA731" i="13"/>
  <c r="AA732" i="13"/>
  <c r="AA728" i="13"/>
  <c r="AA730" i="13"/>
  <c r="AA729" i="13"/>
  <c r="AA726" i="13"/>
  <c r="AA727" i="13"/>
  <c r="AA711" i="13"/>
  <c r="AA723" i="13"/>
  <c r="AA700" i="13"/>
  <c r="AA712" i="13"/>
  <c r="AA724" i="13"/>
  <c r="AA701" i="13"/>
  <c r="AA713" i="13"/>
  <c r="AA725" i="13"/>
  <c r="AA702" i="13"/>
  <c r="AA714" i="13"/>
  <c r="AA703" i="13"/>
  <c r="AA715" i="13"/>
  <c r="AA710" i="13"/>
  <c r="AA721" i="13"/>
  <c r="AA709" i="13"/>
  <c r="AA720" i="13"/>
  <c r="AA708" i="13"/>
  <c r="AA719" i="13"/>
  <c r="AA707" i="13"/>
  <c r="AA722" i="13"/>
  <c r="AA718" i="13"/>
  <c r="AA706" i="13"/>
  <c r="AA717" i="13"/>
  <c r="AA705" i="13"/>
  <c r="AA716" i="13"/>
  <c r="AA704" i="13"/>
  <c r="AA665" i="13"/>
  <c r="AA664" i="13"/>
  <c r="AA663" i="13"/>
  <c r="AA662" i="13"/>
  <c r="AA661" i="13"/>
  <c r="AA658" i="13"/>
  <c r="AA659" i="13"/>
  <c r="AA650" i="13"/>
  <c r="AA655" i="13"/>
  <c r="AA656" i="13"/>
  <c r="AA657" i="13"/>
  <c r="AA654" i="13"/>
  <c r="AA653" i="13"/>
  <c r="AA652" i="13"/>
  <c r="AA651" i="13"/>
  <c r="AA643" i="13"/>
  <c r="AA648" i="13"/>
  <c r="AA649" i="13"/>
  <c r="AA647" i="13"/>
  <c r="AA646" i="13"/>
  <c r="AA645" i="13"/>
  <c r="AA644" i="13"/>
  <c r="AA641" i="13"/>
  <c r="AA642" i="13"/>
  <c r="AA636" i="13"/>
  <c r="AA640" i="13"/>
  <c r="AA639" i="13"/>
  <c r="AA638" i="13"/>
  <c r="AA637" i="13"/>
  <c r="AA633" i="13"/>
  <c r="AA635" i="13"/>
  <c r="AA634" i="13"/>
  <c r="AA630" i="13"/>
  <c r="AA632" i="13"/>
  <c r="AA631" i="13"/>
  <c r="F2" i="7"/>
  <c r="AA629" i="13"/>
  <c r="AA561" i="13"/>
  <c r="AA564" i="13"/>
  <c r="AA563" i="13"/>
  <c r="AA562" i="13"/>
  <c r="AA558" i="13"/>
  <c r="AA560" i="13"/>
  <c r="AA559" i="13"/>
  <c r="AA554" i="13"/>
  <c r="AA557" i="13"/>
  <c r="AA556" i="13"/>
  <c r="AA555" i="13"/>
  <c r="AA548" i="13"/>
  <c r="AA550" i="13"/>
  <c r="AA551" i="13"/>
  <c r="AA552" i="13"/>
  <c r="AA553" i="13"/>
  <c r="AA549" i="13"/>
  <c r="AA538" i="13"/>
  <c r="AA546" i="13"/>
  <c r="AA547" i="13"/>
  <c r="AA545" i="13"/>
  <c r="AA544" i="13"/>
  <c r="AA543" i="13"/>
  <c r="AA542" i="13"/>
  <c r="AA541" i="13"/>
  <c r="AA540" i="13"/>
  <c r="AA539" i="13"/>
  <c r="AA530" i="13"/>
  <c r="AA537" i="13"/>
  <c r="AA536" i="13"/>
  <c r="AA535" i="13"/>
  <c r="AA534" i="13"/>
  <c r="AA533" i="13"/>
  <c r="AA532" i="13"/>
  <c r="AA531" i="13"/>
  <c r="F2" i="6"/>
  <c r="C8" i="13" s="1"/>
  <c r="AA509" i="13"/>
  <c r="AA521" i="13"/>
  <c r="AA528" i="13"/>
  <c r="AA510" i="13"/>
  <c r="AA522" i="13"/>
  <c r="AA511" i="13"/>
  <c r="AA523" i="13"/>
  <c r="AA516" i="13"/>
  <c r="AA512" i="13"/>
  <c r="AA524" i="13"/>
  <c r="AA513" i="13"/>
  <c r="AA525" i="13"/>
  <c r="AA502" i="13"/>
  <c r="AA514" i="13"/>
  <c r="AA526" i="13"/>
  <c r="AA503" i="13"/>
  <c r="AA515" i="13"/>
  <c r="AA527" i="13"/>
  <c r="AA520" i="13"/>
  <c r="AA504" i="13"/>
  <c r="AA508" i="13"/>
  <c r="AA519" i="13"/>
  <c r="AA507" i="13"/>
  <c r="AA518" i="13"/>
  <c r="AA506" i="13"/>
  <c r="AA529" i="13"/>
  <c r="AA517" i="13"/>
  <c r="AA505" i="13"/>
  <c r="AA464" i="13"/>
  <c r="AA466" i="13"/>
  <c r="AA465" i="13"/>
  <c r="AA461" i="13"/>
  <c r="AA462" i="13"/>
  <c r="AA463" i="13"/>
  <c r="AA459" i="13"/>
  <c r="AA460" i="13"/>
  <c r="AA457" i="13"/>
  <c r="AA458" i="13"/>
  <c r="AA455" i="13"/>
  <c r="AA456" i="13"/>
  <c r="AA357" i="13"/>
  <c r="G40" i="4"/>
  <c r="G52" i="4"/>
  <c r="G51" i="4"/>
  <c r="G41" i="4"/>
  <c r="G53" i="4"/>
  <c r="G39" i="4"/>
  <c r="G30" i="4"/>
  <c r="G42" i="4"/>
  <c r="G54" i="4"/>
  <c r="G31" i="4"/>
  <c r="G43" i="4"/>
  <c r="G55" i="4"/>
  <c r="G32" i="4"/>
  <c r="G44" i="4"/>
  <c r="G56" i="4"/>
  <c r="G33" i="4"/>
  <c r="G45" i="4"/>
  <c r="G57" i="4"/>
  <c r="G34" i="4"/>
  <c r="G46" i="4"/>
  <c r="G58" i="4"/>
  <c r="G35" i="4"/>
  <c r="G47" i="4"/>
  <c r="G59" i="4"/>
  <c r="G50" i="4"/>
  <c r="G61" i="4"/>
  <c r="G49" i="4"/>
  <c r="G37" i="4"/>
  <c r="G38" i="4"/>
  <c r="G60" i="4"/>
  <c r="G48" i="4"/>
  <c r="G36" i="4"/>
  <c r="AA453" i="13"/>
  <c r="AA454" i="13"/>
  <c r="AA450" i="13"/>
  <c r="AA451" i="13"/>
  <c r="AA452" i="13"/>
  <c r="AA448" i="13"/>
  <c r="AA449" i="13"/>
  <c r="AA442" i="13"/>
  <c r="AA447" i="13"/>
  <c r="AA446" i="13"/>
  <c r="AA445" i="13"/>
  <c r="AA444" i="13"/>
  <c r="AA443" i="13"/>
  <c r="AA440" i="13"/>
  <c r="AA441" i="13"/>
  <c r="AA434" i="13"/>
  <c r="AA439" i="13"/>
  <c r="AA438" i="13"/>
  <c r="AA437" i="13"/>
  <c r="AA436" i="13"/>
  <c r="AA435" i="13"/>
  <c r="AA432" i="13"/>
  <c r="AA433" i="13"/>
  <c r="AA430" i="13"/>
  <c r="AA431" i="13"/>
  <c r="AA412" i="13"/>
  <c r="AA424" i="13"/>
  <c r="AA423" i="13"/>
  <c r="AA411" i="13"/>
  <c r="AA422" i="13"/>
  <c r="AA410" i="13"/>
  <c r="AA421" i="13"/>
  <c r="AA409" i="13"/>
  <c r="AA420" i="13"/>
  <c r="AA408" i="13"/>
  <c r="AA419" i="13"/>
  <c r="AA407" i="13"/>
  <c r="AA418" i="13"/>
  <c r="AA406" i="13"/>
  <c r="AA405" i="13"/>
  <c r="AA417" i="13"/>
  <c r="AA428" i="13"/>
  <c r="AA416" i="13"/>
  <c r="AA404" i="13"/>
  <c r="AA427" i="13"/>
  <c r="AA415" i="13"/>
  <c r="AA403" i="13"/>
  <c r="AA429" i="13"/>
  <c r="AA426" i="13"/>
  <c r="AA414" i="13"/>
  <c r="AA402" i="13"/>
  <c r="AA425" i="13"/>
  <c r="AA413" i="13"/>
  <c r="AA401" i="13"/>
  <c r="AA365" i="13"/>
  <c r="AA364" i="13"/>
  <c r="AA363" i="13"/>
  <c r="AA362" i="13"/>
  <c r="AA361" i="13"/>
  <c r="AA360" i="13"/>
  <c r="AA359" i="13"/>
  <c r="AA358" i="13"/>
  <c r="AA354" i="13"/>
  <c r="AA356" i="13"/>
  <c r="AA355" i="13"/>
  <c r="AA342" i="13"/>
  <c r="AA353" i="13"/>
  <c r="AA352" i="13"/>
  <c r="AA351" i="13"/>
  <c r="AA350" i="13"/>
  <c r="AA349" i="13"/>
  <c r="AA348" i="13"/>
  <c r="AA347" i="13"/>
  <c r="AA346" i="13"/>
  <c r="AA345" i="13"/>
  <c r="AA344" i="13"/>
  <c r="AA343" i="13"/>
  <c r="AA340" i="13"/>
  <c r="AA341" i="13"/>
  <c r="AA329" i="13"/>
  <c r="AA339" i="13"/>
  <c r="AA338" i="13"/>
  <c r="AA337" i="13"/>
  <c r="AA336" i="13"/>
  <c r="AA335" i="13"/>
  <c r="AA334" i="13"/>
  <c r="AA333" i="13"/>
  <c r="AA332" i="13"/>
  <c r="AA331" i="13"/>
  <c r="AA330" i="13"/>
  <c r="F2" i="4"/>
  <c r="C6" i="13" s="1"/>
  <c r="AA304" i="13"/>
  <c r="AA316" i="13"/>
  <c r="AA328" i="13"/>
  <c r="AA317" i="13"/>
  <c r="AA305" i="13"/>
  <c r="AA306" i="13"/>
  <c r="AA318" i="13"/>
  <c r="AA326" i="13"/>
  <c r="AA314" i="13"/>
  <c r="AA302" i="13"/>
  <c r="AA325" i="13"/>
  <c r="AA313" i="13"/>
  <c r="AA301" i="13"/>
  <c r="AA324" i="13"/>
  <c r="AA312" i="13"/>
  <c r="AA311" i="13"/>
  <c r="AA303" i="13"/>
  <c r="AA323" i="13"/>
  <c r="AA322" i="13"/>
  <c r="AA310" i="13"/>
  <c r="AA321" i="13"/>
  <c r="AA309" i="13"/>
  <c r="AA327" i="13"/>
  <c r="AA320" i="13"/>
  <c r="AA308" i="13"/>
  <c r="AA315" i="13"/>
  <c r="AA319" i="13"/>
  <c r="AA307" i="13"/>
  <c r="G17" i="7"/>
  <c r="G27" i="7"/>
  <c r="G15" i="7"/>
  <c r="G3" i="7"/>
  <c r="AA628" i="13"/>
  <c r="AA616" i="13"/>
  <c r="AA604" i="13"/>
  <c r="G29" i="7"/>
  <c r="G26" i="7"/>
  <c r="G14" i="7"/>
  <c r="AA627" i="13"/>
  <c r="AA615" i="13"/>
  <c r="AA603" i="13"/>
  <c r="AA606" i="13"/>
  <c r="G4" i="7"/>
  <c r="AA617" i="13"/>
  <c r="AA605" i="13"/>
  <c r="G13" i="7"/>
  <c r="AA626" i="13"/>
  <c r="AA614" i="13"/>
  <c r="AA602" i="13"/>
  <c r="AA625" i="13"/>
  <c r="AA613" i="13"/>
  <c r="AA601" i="13"/>
  <c r="AA618" i="13"/>
  <c r="G28" i="7"/>
  <c r="G23" i="7"/>
  <c r="G11" i="7"/>
  <c r="AA624" i="13"/>
  <c r="AA612" i="13"/>
  <c r="G24" i="7"/>
  <c r="G22" i="7"/>
  <c r="G10" i="7"/>
  <c r="AA623" i="13"/>
  <c r="AA611" i="13"/>
  <c r="G21" i="7"/>
  <c r="G9" i="7"/>
  <c r="AA622" i="13"/>
  <c r="AA610" i="13"/>
  <c r="G5" i="7"/>
  <c r="G16" i="7"/>
  <c r="G25" i="7"/>
  <c r="G12" i="7"/>
  <c r="G20" i="7"/>
  <c r="G8" i="7"/>
  <c r="AA621" i="13"/>
  <c r="AA609" i="13"/>
  <c r="G19" i="7"/>
  <c r="G7" i="7"/>
  <c r="AA620" i="13"/>
  <c r="AA608" i="13"/>
  <c r="G18" i="7"/>
  <c r="G6" i="7"/>
  <c r="AA619" i="13"/>
  <c r="AA607" i="13"/>
  <c r="C14" i="13"/>
  <c r="AA1111" i="13"/>
  <c r="AA1123" i="13"/>
  <c r="G4" i="12"/>
  <c r="G16" i="12"/>
  <c r="G28" i="12"/>
  <c r="AA1112" i="13"/>
  <c r="AA1124" i="13"/>
  <c r="G5" i="12"/>
  <c r="G17" i="12"/>
  <c r="G29" i="12"/>
  <c r="AA1113" i="13"/>
  <c r="AA1125" i="13"/>
  <c r="G6" i="12"/>
  <c r="G18" i="12"/>
  <c r="G30" i="12"/>
  <c r="AA1110" i="13"/>
  <c r="AA1122" i="13"/>
  <c r="G3" i="12"/>
  <c r="G15" i="12"/>
  <c r="G27" i="12"/>
  <c r="AA1114" i="13"/>
  <c r="AA1126" i="13"/>
  <c r="G7" i="12"/>
  <c r="G19" i="12"/>
  <c r="AA1115" i="13"/>
  <c r="AA1127" i="13"/>
  <c r="G8" i="12"/>
  <c r="G20" i="12"/>
  <c r="G26" i="12"/>
  <c r="G14" i="12"/>
  <c r="AA1121" i="13"/>
  <c r="AA1109" i="13"/>
  <c r="G25" i="12"/>
  <c r="G13" i="12"/>
  <c r="AA1132" i="13"/>
  <c r="AA1120" i="13"/>
  <c r="AA1108" i="13"/>
  <c r="G24" i="12"/>
  <c r="G12" i="12"/>
  <c r="AA1131" i="13"/>
  <c r="AA1119" i="13"/>
  <c r="AA1107" i="13"/>
  <c r="G23" i="12"/>
  <c r="G11" i="12"/>
  <c r="AA1130" i="13"/>
  <c r="AA1118" i="13"/>
  <c r="AA1106" i="13"/>
  <c r="G22" i="12"/>
  <c r="G10" i="12"/>
  <c r="AA1129" i="13"/>
  <c r="AA1117" i="13"/>
  <c r="AA1105" i="13"/>
  <c r="G21" i="12"/>
  <c r="G9" i="12"/>
  <c r="AA1128" i="13"/>
  <c r="AA1116" i="13"/>
  <c r="AA1104" i="13"/>
  <c r="AA261" i="13"/>
  <c r="F2" i="2"/>
  <c r="AA161" i="13"/>
  <c r="AA259" i="13"/>
  <c r="AA247" i="13"/>
  <c r="AA235" i="13"/>
  <c r="AA223" i="13"/>
  <c r="AA211" i="13"/>
  <c r="AA260" i="13"/>
  <c r="AA236" i="13"/>
  <c r="AA212" i="13"/>
  <c r="AA258" i="13"/>
  <c r="AA210" i="13"/>
  <c r="AA248" i="13"/>
  <c r="AA224" i="13"/>
  <c r="AA222" i="13"/>
  <c r="AA257" i="13"/>
  <c r="AA245" i="13"/>
  <c r="AA233" i="13"/>
  <c r="AA221" i="13"/>
  <c r="AA209" i="13"/>
  <c r="AA234" i="13"/>
  <c r="AA256" i="13"/>
  <c r="AA244" i="13"/>
  <c r="AA232" i="13"/>
  <c r="AA220" i="13"/>
  <c r="AA208" i="13"/>
  <c r="AA255" i="13"/>
  <c r="AA243" i="13"/>
  <c r="AA231" i="13"/>
  <c r="AA219" i="13"/>
  <c r="AA207" i="13"/>
  <c r="AA246" i="13"/>
  <c r="AA254" i="13"/>
  <c r="AA242" i="13"/>
  <c r="AA230" i="13"/>
  <c r="AA218" i="13"/>
  <c r="AA206" i="13"/>
  <c r="AA253" i="13"/>
  <c r="AA241" i="13"/>
  <c r="AA229" i="13"/>
  <c r="AA217" i="13"/>
  <c r="AA205" i="13"/>
  <c r="AA252" i="13"/>
  <c r="AA240" i="13"/>
  <c r="AA228" i="13"/>
  <c r="AA216" i="13"/>
  <c r="AA204" i="13"/>
  <c r="AA251" i="13"/>
  <c r="AA239" i="13"/>
  <c r="AA227" i="13"/>
  <c r="AA215" i="13"/>
  <c r="AA203" i="13"/>
  <c r="AA250" i="13"/>
  <c r="AA238" i="13"/>
  <c r="AA226" i="13"/>
  <c r="AA214" i="13"/>
  <c r="AA202" i="13"/>
  <c r="AA200" i="13"/>
  <c r="AA249" i="13"/>
  <c r="AA237" i="13"/>
  <c r="AA225" i="13"/>
  <c r="AA213" i="13"/>
  <c r="AA201" i="13"/>
  <c r="AA143" i="13"/>
  <c r="AA119" i="13"/>
  <c r="AA154" i="13"/>
  <c r="AA142" i="13"/>
  <c r="AA130" i="13"/>
  <c r="AA118" i="13"/>
  <c r="AA106" i="13"/>
  <c r="AA153" i="13"/>
  <c r="AA141" i="13"/>
  <c r="AA129" i="13"/>
  <c r="AA117" i="13"/>
  <c r="AA105" i="13"/>
  <c r="AA155" i="13"/>
  <c r="AA131" i="13"/>
  <c r="AA152" i="13"/>
  <c r="AA140" i="13"/>
  <c r="AA128" i="13"/>
  <c r="AA116" i="13"/>
  <c r="AA104" i="13"/>
  <c r="AA107" i="13"/>
  <c r="AA151" i="13"/>
  <c r="AA103" i="13"/>
  <c r="AA139" i="13"/>
  <c r="AA127" i="13"/>
  <c r="AA115" i="13"/>
  <c r="AA150" i="13"/>
  <c r="AA138" i="13"/>
  <c r="AA126" i="13"/>
  <c r="AA114" i="13"/>
  <c r="AA102" i="13"/>
  <c r="AA149" i="13"/>
  <c r="AA137" i="13"/>
  <c r="AA125" i="13"/>
  <c r="AA113" i="13"/>
  <c r="AA101" i="13"/>
  <c r="AA148" i="13"/>
  <c r="AA136" i="13"/>
  <c r="AA124" i="13"/>
  <c r="AA112" i="13"/>
  <c r="AA159" i="13"/>
  <c r="AA135" i="13"/>
  <c r="AA123" i="13"/>
  <c r="AA111" i="13"/>
  <c r="AA158" i="13"/>
  <c r="AA134" i="13"/>
  <c r="AA122" i="13"/>
  <c r="AA157" i="13"/>
  <c r="AA145" i="13"/>
  <c r="AA133" i="13"/>
  <c r="AA121" i="13"/>
  <c r="AA109" i="13"/>
  <c r="AA160" i="13"/>
  <c r="AA147" i="13"/>
  <c r="AA146" i="13"/>
  <c r="AA110" i="13"/>
  <c r="AA156" i="13"/>
  <c r="AA144" i="13"/>
  <c r="AA132" i="13"/>
  <c r="AA120" i="13"/>
  <c r="AA108" i="13"/>
  <c r="F2" i="1"/>
  <c r="C3" i="13" s="1"/>
  <c r="AA61" i="13"/>
  <c r="AA46" i="13"/>
  <c r="AA57" i="13"/>
  <c r="AA45" i="13"/>
  <c r="AA33" i="13"/>
  <c r="AA21" i="13"/>
  <c r="AA9" i="13"/>
  <c r="AA34" i="13"/>
  <c r="AA10" i="13"/>
  <c r="AA56" i="13"/>
  <c r="AA44" i="13"/>
  <c r="AA32" i="13"/>
  <c r="AA20" i="13"/>
  <c r="AA8" i="13"/>
  <c r="AA55" i="13"/>
  <c r="AA43" i="13"/>
  <c r="AA31" i="13"/>
  <c r="AA19" i="13"/>
  <c r="AA7" i="13"/>
  <c r="AA6" i="13"/>
  <c r="AA5" i="13"/>
  <c r="AA54" i="13"/>
  <c r="AA42" i="13"/>
  <c r="AA30" i="13"/>
  <c r="AA18" i="13"/>
  <c r="AA53" i="13"/>
  <c r="AA41" i="13"/>
  <c r="AA29" i="13"/>
  <c r="AA17" i="13"/>
  <c r="AA52" i="13"/>
  <c r="AA40" i="13"/>
  <c r="AA28" i="13"/>
  <c r="AA16" i="13"/>
  <c r="AA4" i="13"/>
  <c r="AA51" i="13"/>
  <c r="AA39" i="13"/>
  <c r="AA27" i="13"/>
  <c r="AA15" i="13"/>
  <c r="AA50" i="13"/>
  <c r="AA38" i="13"/>
  <c r="AA26" i="13"/>
  <c r="AA14" i="13"/>
  <c r="AA22" i="13"/>
  <c r="AA49" i="13"/>
  <c r="AA37" i="13"/>
  <c r="AA25" i="13"/>
  <c r="AA13" i="13"/>
  <c r="AA48" i="13"/>
  <c r="AA36" i="13"/>
  <c r="AA24" i="13"/>
  <c r="AA12" i="13"/>
  <c r="AA58" i="13"/>
  <c r="AA59" i="13"/>
  <c r="AA47" i="13"/>
  <c r="AA35" i="13"/>
  <c r="AA23" i="13"/>
  <c r="AA11" i="13"/>
  <c r="AA60" i="13"/>
  <c r="F2" i="8"/>
  <c r="C10" i="13" s="1"/>
  <c r="G3" i="8"/>
  <c r="G15" i="8"/>
  <c r="G27" i="8"/>
  <c r="G4" i="8"/>
  <c r="G16" i="8"/>
  <c r="G28" i="8"/>
  <c r="G26" i="8"/>
  <c r="G5" i="8"/>
  <c r="G17" i="8"/>
  <c r="G6" i="8"/>
  <c r="G18" i="8"/>
  <c r="G23" i="8"/>
  <c r="G11" i="8"/>
  <c r="G14" i="8"/>
  <c r="G13" i="8"/>
  <c r="G12" i="8"/>
  <c r="G22" i="8"/>
  <c r="G10" i="8"/>
  <c r="G25" i="8"/>
  <c r="G24" i="8"/>
  <c r="G21" i="8"/>
  <c r="G9" i="8"/>
  <c r="G20" i="8"/>
  <c r="G8" i="8"/>
  <c r="G19" i="8"/>
  <c r="G7" i="8"/>
  <c r="G54" i="2"/>
  <c r="G42" i="2"/>
  <c r="G30" i="2"/>
  <c r="G18" i="2"/>
  <c r="G6" i="2"/>
  <c r="G17" i="2"/>
  <c r="G28" i="2"/>
  <c r="G51" i="2"/>
  <c r="G39" i="2"/>
  <c r="G27" i="2"/>
  <c r="G15" i="2"/>
  <c r="G3" i="2"/>
  <c r="G50" i="2"/>
  <c r="G38" i="2"/>
  <c r="G26" i="2"/>
  <c r="G14" i="2"/>
  <c r="G16" i="2"/>
  <c r="G25" i="2"/>
  <c r="G59" i="2"/>
  <c r="G47" i="2"/>
  <c r="G35" i="2"/>
  <c r="G23" i="2"/>
  <c r="G11" i="2"/>
  <c r="G53" i="2"/>
  <c r="G29" i="2"/>
  <c r="G5" i="2"/>
  <c r="G52" i="2"/>
  <c r="G4" i="2"/>
  <c r="G61" i="2"/>
  <c r="G49" i="2"/>
  <c r="G37" i="2"/>
  <c r="G13" i="2"/>
  <c r="G48" i="2"/>
  <c r="G36" i="2"/>
  <c r="G12" i="2"/>
  <c r="G58" i="2"/>
  <c r="G46" i="2"/>
  <c r="G34" i="2"/>
  <c r="G22" i="2"/>
  <c r="G10" i="2"/>
  <c r="G41" i="2"/>
  <c r="G40" i="2"/>
  <c r="G60" i="2"/>
  <c r="G24" i="2"/>
  <c r="G57" i="2"/>
  <c r="G45" i="2"/>
  <c r="G33" i="2"/>
  <c r="G21" i="2"/>
  <c r="G9" i="2"/>
  <c r="G56" i="2"/>
  <c r="G44" i="2"/>
  <c r="G32" i="2"/>
  <c r="G20" i="2"/>
  <c r="G8" i="2"/>
  <c r="G55" i="2"/>
  <c r="G43" i="2"/>
  <c r="G31" i="2"/>
  <c r="G19" i="2"/>
  <c r="G7" i="2"/>
  <c r="G60" i="3"/>
  <c r="G48" i="3"/>
  <c r="G36" i="3"/>
  <c r="G24" i="3"/>
  <c r="G12" i="3"/>
  <c r="G59" i="3"/>
  <c r="G47" i="3"/>
  <c r="G35" i="3"/>
  <c r="G23" i="3"/>
  <c r="G11" i="3"/>
  <c r="G58" i="3"/>
  <c r="G46" i="3"/>
  <c r="G34" i="3"/>
  <c r="G22" i="3"/>
  <c r="G10" i="3"/>
  <c r="G57" i="3"/>
  <c r="G45" i="3"/>
  <c r="G33" i="3"/>
  <c r="G21" i="3"/>
  <c r="G9" i="3"/>
  <c r="G56" i="3"/>
  <c r="G44" i="3"/>
  <c r="G32" i="3"/>
  <c r="G20" i="3"/>
  <c r="G8" i="3"/>
  <c r="G53" i="3"/>
  <c r="G41" i="3"/>
  <c r="G29" i="3"/>
  <c r="G17" i="3"/>
  <c r="G5" i="3"/>
  <c r="N3" i="3" s="1"/>
  <c r="G5" i="13" s="1"/>
  <c r="G43" i="3"/>
  <c r="G31" i="3"/>
  <c r="G7" i="3"/>
  <c r="G42" i="3"/>
  <c r="G6" i="3"/>
  <c r="G52" i="3"/>
  <c r="G40" i="3"/>
  <c r="G28" i="3"/>
  <c r="G16" i="3"/>
  <c r="G4" i="3"/>
  <c r="G51" i="3"/>
  <c r="G39" i="3"/>
  <c r="G27" i="3"/>
  <c r="G15" i="3"/>
  <c r="G3" i="3"/>
  <c r="G30" i="3"/>
  <c r="G50" i="3"/>
  <c r="G38" i="3"/>
  <c r="G26" i="3"/>
  <c r="G14" i="3"/>
  <c r="G55" i="3"/>
  <c r="G19" i="3"/>
  <c r="G54" i="3"/>
  <c r="G18" i="3"/>
  <c r="G61" i="3"/>
  <c r="G49" i="3"/>
  <c r="G37" i="3"/>
  <c r="G25" i="3"/>
  <c r="G13" i="3"/>
  <c r="F2" i="5"/>
  <c r="C7" i="13" s="1"/>
  <c r="G3" i="5"/>
  <c r="G15" i="5"/>
  <c r="G27" i="5"/>
  <c r="G4" i="5"/>
  <c r="G16" i="5"/>
  <c r="G28" i="5"/>
  <c r="G18" i="5"/>
  <c r="G5" i="5"/>
  <c r="G17" i="5"/>
  <c r="G29" i="5"/>
  <c r="G11" i="5"/>
  <c r="G6" i="5"/>
  <c r="G14" i="5"/>
  <c r="G7" i="5"/>
  <c r="G19" i="5"/>
  <c r="G25" i="5"/>
  <c r="G13" i="5"/>
  <c r="G24" i="5"/>
  <c r="G12" i="5"/>
  <c r="G26" i="5"/>
  <c r="G10" i="5"/>
  <c r="G21" i="5"/>
  <c r="G9" i="5"/>
  <c r="G23" i="5"/>
  <c r="G22" i="5"/>
  <c r="G20" i="5"/>
  <c r="G8" i="5"/>
  <c r="G28" i="4"/>
  <c r="G3" i="4"/>
  <c r="G25" i="4"/>
  <c r="G24" i="4"/>
  <c r="G12" i="4"/>
  <c r="G23" i="4"/>
  <c r="G11" i="4"/>
  <c r="G22" i="4"/>
  <c r="G21" i="4"/>
  <c r="G9" i="4"/>
  <c r="G20" i="4"/>
  <c r="G8" i="4"/>
  <c r="G19" i="4"/>
  <c r="G7" i="4"/>
  <c r="G18" i="4"/>
  <c r="G6" i="4"/>
  <c r="G10" i="4"/>
  <c r="G29" i="4"/>
  <c r="G17" i="4"/>
  <c r="G5" i="4"/>
  <c r="G4" i="4"/>
  <c r="G16" i="4"/>
  <c r="G27" i="4"/>
  <c r="G15" i="4"/>
  <c r="G26" i="4"/>
  <c r="G14" i="4"/>
  <c r="G13" i="4"/>
  <c r="G49" i="1"/>
  <c r="G37" i="1"/>
  <c r="G25" i="1"/>
  <c r="G13" i="1"/>
  <c r="G48" i="1"/>
  <c r="G36" i="1"/>
  <c r="G24" i="1"/>
  <c r="G12" i="1"/>
  <c r="G47" i="1"/>
  <c r="G35" i="1"/>
  <c r="G23" i="1"/>
  <c r="G11" i="1"/>
  <c r="G38" i="1"/>
  <c r="G58" i="1"/>
  <c r="G46" i="1"/>
  <c r="G34" i="1"/>
  <c r="G22" i="1"/>
  <c r="G10" i="1"/>
  <c r="G57" i="1"/>
  <c r="G45" i="1"/>
  <c r="G33" i="1"/>
  <c r="G21" i="1"/>
  <c r="G9" i="1"/>
  <c r="G56" i="1"/>
  <c r="G44" i="1"/>
  <c r="G32" i="1"/>
  <c r="G20" i="1"/>
  <c r="G8" i="1"/>
  <c r="G50" i="1"/>
  <c r="G55" i="1"/>
  <c r="G43" i="1"/>
  <c r="G31" i="1"/>
  <c r="G19" i="1"/>
  <c r="G7" i="1"/>
  <c r="G54" i="1"/>
  <c r="G42" i="1"/>
  <c r="G30" i="1"/>
  <c r="G18" i="1"/>
  <c r="G6" i="1"/>
  <c r="G14" i="1"/>
  <c r="G53" i="1"/>
  <c r="G41" i="1"/>
  <c r="G29" i="1"/>
  <c r="G17" i="1"/>
  <c r="G5" i="1"/>
  <c r="N3" i="1" s="1"/>
  <c r="G26" i="1"/>
  <c r="G52" i="1"/>
  <c r="G40" i="1"/>
  <c r="G28" i="1"/>
  <c r="G16" i="1"/>
  <c r="G4" i="1"/>
  <c r="G51" i="1"/>
  <c r="G39" i="1"/>
  <c r="G27" i="1"/>
  <c r="G15" i="1"/>
  <c r="G2" i="2" l="1"/>
  <c r="N4" i="2" s="1"/>
  <c r="H4" i="13" s="1"/>
  <c r="C4" i="13"/>
  <c r="N3" i="6"/>
  <c r="G8" i="13" s="1"/>
  <c r="G2" i="7"/>
  <c r="N5" i="7" s="1"/>
  <c r="I9" i="13" s="1"/>
  <c r="C9" i="13"/>
  <c r="AA3" i="13"/>
  <c r="G2" i="1"/>
  <c r="N5" i="1" s="1"/>
  <c r="I3" i="13" s="1"/>
  <c r="G2" i="11"/>
  <c r="AA1002" i="13"/>
  <c r="AA501" i="13"/>
  <c r="G2" i="6"/>
  <c r="G2" i="10"/>
  <c r="AA901" i="13"/>
  <c r="G2" i="9"/>
  <c r="AA800" i="13"/>
  <c r="G2" i="8"/>
  <c r="AA699" i="13"/>
  <c r="AA600" i="13"/>
  <c r="G2" i="5"/>
  <c r="AA400" i="13"/>
  <c r="G2" i="4"/>
  <c r="AA300" i="13"/>
  <c r="G2" i="12"/>
  <c r="N5" i="12" s="1"/>
  <c r="I14" i="13" s="1"/>
  <c r="AA1103" i="13"/>
  <c r="AA100" i="13"/>
  <c r="N5" i="3"/>
  <c r="I5" i="13" s="1"/>
  <c r="N4" i="3"/>
  <c r="H5" i="13" s="1"/>
  <c r="N3" i="2"/>
  <c r="G4" i="13" s="1"/>
  <c r="G3" i="13"/>
  <c r="N5" i="2" l="1"/>
  <c r="I4" i="13" s="1"/>
  <c r="N4" i="7"/>
  <c r="H9" i="13" s="1"/>
  <c r="N5" i="11"/>
  <c r="I13" i="13" s="1"/>
  <c r="N4" i="11"/>
  <c r="H13" i="13" s="1"/>
  <c r="N4" i="10"/>
  <c r="H12" i="13" s="1"/>
  <c r="N5" i="10"/>
  <c r="I12" i="13" s="1"/>
  <c r="N5" i="9"/>
  <c r="I11" i="13" s="1"/>
  <c r="N4" i="9"/>
  <c r="H11" i="13" s="1"/>
  <c r="N5" i="8"/>
  <c r="I10" i="13" s="1"/>
  <c r="N4" i="8"/>
  <c r="H10" i="13" s="1"/>
  <c r="N4" i="6"/>
  <c r="H8" i="13" s="1"/>
  <c r="N5" i="6"/>
  <c r="I8" i="13" s="1"/>
  <c r="N4" i="5"/>
  <c r="H7" i="13" s="1"/>
  <c r="N5" i="5"/>
  <c r="I7" i="13" s="1"/>
  <c r="N5" i="4"/>
  <c r="I6" i="13" s="1"/>
  <c r="N4" i="4"/>
  <c r="H6" i="13" s="1"/>
  <c r="A18" i="13" a="1"/>
  <c r="N4" i="12"/>
  <c r="H14" i="13" s="1"/>
  <c r="N4" i="1"/>
  <c r="H3" i="13" s="1"/>
  <c r="A18" i="13" l="1"/>
  <c r="B16" i="13" s="1"/>
  <c r="J20" i="13"/>
  <c r="J23" i="13"/>
  <c r="J26" i="13"/>
  <c r="J29" i="13"/>
  <c r="J32" i="13"/>
  <c r="J35" i="13"/>
  <c r="J38" i="13"/>
  <c r="J41" i="13"/>
  <c r="J44" i="13"/>
  <c r="J47" i="13"/>
  <c r="J50" i="13"/>
  <c r="J53" i="13"/>
  <c r="J56" i="13"/>
  <c r="J59" i="13"/>
  <c r="J62" i="13"/>
  <c r="J65" i="13"/>
  <c r="J68" i="13"/>
  <c r="J71" i="13"/>
  <c r="J74" i="13"/>
  <c r="J77" i="13"/>
  <c r="J80" i="13"/>
  <c r="J83" i="13"/>
  <c r="J86" i="13"/>
  <c r="I20" i="13"/>
  <c r="I32" i="13"/>
  <c r="I44" i="13"/>
  <c r="I56" i="13"/>
  <c r="I68" i="13"/>
  <c r="I80" i="13"/>
  <c r="H23" i="13"/>
  <c r="H35" i="13"/>
  <c r="H47" i="13"/>
  <c r="H59" i="13"/>
  <c r="H71" i="13"/>
  <c r="H83" i="13"/>
  <c r="G26" i="13"/>
  <c r="G38" i="13"/>
  <c r="G50" i="13"/>
  <c r="G62" i="13"/>
  <c r="G74" i="13"/>
  <c r="G86" i="13"/>
  <c r="F29" i="13"/>
  <c r="F41" i="13"/>
  <c r="F53" i="13"/>
  <c r="F65" i="13"/>
  <c r="F77" i="13"/>
  <c r="E20" i="13"/>
  <c r="E32" i="13"/>
  <c r="E44" i="13"/>
  <c r="E56" i="13"/>
  <c r="E68" i="13"/>
  <c r="E80" i="13"/>
  <c r="D23" i="13"/>
  <c r="D35" i="13"/>
  <c r="D47" i="13"/>
  <c r="D59" i="13"/>
  <c r="D71" i="13"/>
  <c r="D83" i="13"/>
  <c r="C26" i="13"/>
  <c r="C38" i="13"/>
  <c r="C50" i="13"/>
  <c r="C62" i="13"/>
  <c r="C74" i="13"/>
  <c r="C86" i="13"/>
  <c r="B29" i="13"/>
  <c r="B41" i="13"/>
  <c r="B53" i="13"/>
  <c r="B65" i="13"/>
  <c r="B77" i="13"/>
  <c r="J30" i="13"/>
  <c r="J36" i="13"/>
  <c r="J42" i="13"/>
  <c r="J48" i="13"/>
  <c r="J54" i="13"/>
  <c r="J63" i="13"/>
  <c r="J78" i="13"/>
  <c r="I24" i="13"/>
  <c r="I60" i="13"/>
  <c r="I84" i="13"/>
  <c r="H51" i="13"/>
  <c r="G30" i="13"/>
  <c r="F21" i="13"/>
  <c r="F57" i="13"/>
  <c r="F81" i="13"/>
  <c r="E24" i="13"/>
  <c r="K20" i="13"/>
  <c r="K23" i="13"/>
  <c r="K26" i="13"/>
  <c r="K29" i="13"/>
  <c r="K32" i="13"/>
  <c r="K35" i="13"/>
  <c r="K38" i="13"/>
  <c r="K41" i="13"/>
  <c r="K44" i="13"/>
  <c r="K47" i="13"/>
  <c r="K50" i="13"/>
  <c r="K53" i="13"/>
  <c r="K56" i="13"/>
  <c r="K59" i="13"/>
  <c r="K62" i="13"/>
  <c r="K65" i="13"/>
  <c r="K68" i="13"/>
  <c r="K71" i="13"/>
  <c r="K74" i="13"/>
  <c r="K77" i="13"/>
  <c r="K80" i="13"/>
  <c r="K83" i="13"/>
  <c r="K86" i="13"/>
  <c r="I21" i="13"/>
  <c r="I33" i="13"/>
  <c r="I45" i="13"/>
  <c r="I57" i="13"/>
  <c r="I69" i="13"/>
  <c r="I81" i="13"/>
  <c r="H24" i="13"/>
  <c r="H36" i="13"/>
  <c r="H48" i="13"/>
  <c r="H60" i="13"/>
  <c r="H72" i="13"/>
  <c r="H84" i="13"/>
  <c r="G27" i="13"/>
  <c r="G39" i="13"/>
  <c r="G51" i="13"/>
  <c r="G63" i="13"/>
  <c r="G75" i="13"/>
  <c r="G87" i="13"/>
  <c r="F30" i="13"/>
  <c r="F42" i="13"/>
  <c r="F54" i="13"/>
  <c r="F66" i="13"/>
  <c r="F78" i="13"/>
  <c r="E21" i="13"/>
  <c r="E33" i="13"/>
  <c r="E45" i="13"/>
  <c r="E57" i="13"/>
  <c r="E69" i="13"/>
  <c r="E81" i="13"/>
  <c r="D24" i="13"/>
  <c r="D36" i="13"/>
  <c r="D48" i="13"/>
  <c r="D60" i="13"/>
  <c r="D72" i="13"/>
  <c r="D84" i="13"/>
  <c r="C27" i="13"/>
  <c r="C39" i="13"/>
  <c r="C51" i="13"/>
  <c r="C63" i="13"/>
  <c r="C75" i="13"/>
  <c r="C87" i="13"/>
  <c r="B30" i="13"/>
  <c r="B42" i="13"/>
  <c r="B54" i="13"/>
  <c r="B66" i="13"/>
  <c r="B78" i="13"/>
  <c r="J27" i="13"/>
  <c r="J66" i="13"/>
  <c r="J72" i="13"/>
  <c r="J81" i="13"/>
  <c r="J87" i="13"/>
  <c r="I36" i="13"/>
  <c r="H27" i="13"/>
  <c r="H63" i="13"/>
  <c r="H87" i="13"/>
  <c r="G42" i="13"/>
  <c r="G66" i="13"/>
  <c r="G78" i="13"/>
  <c r="F69" i="13"/>
  <c r="E36" i="13"/>
  <c r="L20" i="13"/>
  <c r="L23" i="13"/>
  <c r="L26" i="13"/>
  <c r="L29" i="13"/>
  <c r="L32" i="13"/>
  <c r="L35" i="13"/>
  <c r="L38" i="13"/>
  <c r="L41" i="13"/>
  <c r="L44" i="13"/>
  <c r="L47" i="13"/>
  <c r="L50" i="13"/>
  <c r="L53" i="13"/>
  <c r="L56" i="13"/>
  <c r="L59" i="13"/>
  <c r="L62" i="13"/>
  <c r="L65" i="13"/>
  <c r="L68" i="13"/>
  <c r="L71" i="13"/>
  <c r="L74" i="13"/>
  <c r="L77" i="13"/>
  <c r="L80" i="13"/>
  <c r="L83" i="13"/>
  <c r="L86" i="13"/>
  <c r="I22" i="13"/>
  <c r="I34" i="13"/>
  <c r="I46" i="13"/>
  <c r="I58" i="13"/>
  <c r="I70" i="13"/>
  <c r="I82" i="13"/>
  <c r="H25" i="13"/>
  <c r="H37" i="13"/>
  <c r="H49" i="13"/>
  <c r="H61" i="13"/>
  <c r="H73" i="13"/>
  <c r="H85" i="13"/>
  <c r="G28" i="13"/>
  <c r="G40" i="13"/>
  <c r="G52" i="13"/>
  <c r="G64" i="13"/>
  <c r="G76" i="13"/>
  <c r="G19" i="13"/>
  <c r="F31" i="13"/>
  <c r="F43" i="13"/>
  <c r="F55" i="13"/>
  <c r="F67" i="13"/>
  <c r="F79" i="13"/>
  <c r="E22" i="13"/>
  <c r="E34" i="13"/>
  <c r="E46" i="13"/>
  <c r="E58" i="13"/>
  <c r="E70" i="13"/>
  <c r="E82" i="13"/>
  <c r="D25" i="13"/>
  <c r="D37" i="13"/>
  <c r="D49" i="13"/>
  <c r="D61" i="13"/>
  <c r="D73" i="13"/>
  <c r="D85" i="13"/>
  <c r="C28" i="13"/>
  <c r="C40" i="13"/>
  <c r="C52" i="13"/>
  <c r="C64" i="13"/>
  <c r="C76" i="13"/>
  <c r="C19" i="13"/>
  <c r="B31" i="13"/>
  <c r="B43" i="13"/>
  <c r="B55" i="13"/>
  <c r="B67" i="13"/>
  <c r="B79" i="13"/>
  <c r="J24" i="13"/>
  <c r="J33" i="13"/>
  <c r="J39" i="13"/>
  <c r="J45" i="13"/>
  <c r="J51" i="13"/>
  <c r="J57" i="13"/>
  <c r="J60" i="13"/>
  <c r="J69" i="13"/>
  <c r="J75" i="13"/>
  <c r="J84" i="13"/>
  <c r="I48" i="13"/>
  <c r="I72" i="13"/>
  <c r="H39" i="13"/>
  <c r="H75" i="13"/>
  <c r="G54" i="13"/>
  <c r="F33" i="13"/>
  <c r="M20" i="13"/>
  <c r="M23" i="13"/>
  <c r="M26" i="13"/>
  <c r="M29" i="13"/>
  <c r="M32" i="13"/>
  <c r="M35" i="13"/>
  <c r="M38" i="13"/>
  <c r="M41" i="13"/>
  <c r="M44" i="13"/>
  <c r="M47" i="13"/>
  <c r="M50" i="13"/>
  <c r="M53" i="13"/>
  <c r="M56" i="13"/>
  <c r="M59" i="13"/>
  <c r="M62" i="13"/>
  <c r="M65" i="13"/>
  <c r="M68" i="13"/>
  <c r="M71" i="13"/>
  <c r="M74" i="13"/>
  <c r="M77" i="13"/>
  <c r="M80" i="13"/>
  <c r="M83" i="13"/>
  <c r="M86" i="13"/>
  <c r="I23" i="13"/>
  <c r="I35" i="13"/>
  <c r="I47" i="13"/>
  <c r="I59" i="13"/>
  <c r="I71" i="13"/>
  <c r="I83" i="13"/>
  <c r="H26" i="13"/>
  <c r="H38" i="13"/>
  <c r="H50" i="13"/>
  <c r="H62" i="13"/>
  <c r="H74" i="13"/>
  <c r="H86" i="13"/>
  <c r="G29" i="13"/>
  <c r="G41" i="13"/>
  <c r="G53" i="13"/>
  <c r="G65" i="13"/>
  <c r="G77" i="13"/>
  <c r="F20" i="13"/>
  <c r="F32" i="13"/>
  <c r="F44" i="13"/>
  <c r="F56" i="13"/>
  <c r="F68" i="13"/>
  <c r="F80" i="13"/>
  <c r="E23" i="13"/>
  <c r="E35" i="13"/>
  <c r="E47" i="13"/>
  <c r="E59" i="13"/>
  <c r="E71" i="13"/>
  <c r="E83" i="13"/>
  <c r="D26" i="13"/>
  <c r="D38" i="13"/>
  <c r="D50" i="13"/>
  <c r="D62" i="13"/>
  <c r="D74" i="13"/>
  <c r="D86" i="13"/>
  <c r="C29" i="13"/>
  <c r="C41" i="13"/>
  <c r="C53" i="13"/>
  <c r="C65" i="13"/>
  <c r="C77" i="13"/>
  <c r="B20" i="13"/>
  <c r="B32" i="13"/>
  <c r="B44" i="13"/>
  <c r="B56" i="13"/>
  <c r="B68" i="13"/>
  <c r="B80" i="13"/>
  <c r="J21" i="13"/>
  <c r="K21" i="13"/>
  <c r="K24" i="13"/>
  <c r="K27" i="13"/>
  <c r="K30" i="13"/>
  <c r="K33" i="13"/>
  <c r="K36" i="13"/>
  <c r="K39" i="13"/>
  <c r="K42" i="13"/>
  <c r="K45" i="13"/>
  <c r="K48" i="13"/>
  <c r="K51" i="13"/>
  <c r="K54" i="13"/>
  <c r="K57" i="13"/>
  <c r="K60" i="13"/>
  <c r="K63" i="13"/>
  <c r="K66" i="13"/>
  <c r="K69" i="13"/>
  <c r="K72" i="13"/>
  <c r="K75" i="13"/>
  <c r="K78" i="13"/>
  <c r="K81" i="13"/>
  <c r="K84" i="13"/>
  <c r="K87" i="13"/>
  <c r="I25" i="13"/>
  <c r="I37" i="13"/>
  <c r="I49" i="13"/>
  <c r="I61" i="13"/>
  <c r="I73" i="13"/>
  <c r="I85" i="13"/>
  <c r="H28" i="13"/>
  <c r="H40" i="13"/>
  <c r="H52" i="13"/>
  <c r="H64" i="13"/>
  <c r="H76" i="13"/>
  <c r="H19" i="13"/>
  <c r="G31" i="13"/>
  <c r="G43" i="13"/>
  <c r="G55" i="13"/>
  <c r="G67" i="13"/>
  <c r="G79" i="13"/>
  <c r="F22" i="13"/>
  <c r="F34" i="13"/>
  <c r="F46" i="13"/>
  <c r="F58" i="13"/>
  <c r="F70" i="13"/>
  <c r="F82" i="13"/>
  <c r="E25" i="13"/>
  <c r="E37" i="13"/>
  <c r="E49" i="13"/>
  <c r="E61" i="13"/>
  <c r="E73" i="13"/>
  <c r="E85" i="13"/>
  <c r="D28" i="13"/>
  <c r="D40" i="13"/>
  <c r="D52" i="13"/>
  <c r="D64" i="13"/>
  <c r="D76" i="13"/>
  <c r="D19" i="13"/>
  <c r="C31" i="13"/>
  <c r="C43" i="13"/>
  <c r="C55" i="13"/>
  <c r="C67" i="13"/>
  <c r="C79" i="13"/>
  <c r="B22" i="13"/>
  <c r="B34" i="13"/>
  <c r="B46" i="13"/>
  <c r="B58" i="13"/>
  <c r="B70" i="13"/>
  <c r="B82" i="13"/>
  <c r="L21" i="13"/>
  <c r="L24" i="13"/>
  <c r="L27" i="13"/>
  <c r="L30" i="13"/>
  <c r="L33" i="13"/>
  <c r="L36" i="13"/>
  <c r="L39" i="13"/>
  <c r="L42" i="13"/>
  <c r="L45" i="13"/>
  <c r="L48" i="13"/>
  <c r="L51" i="13"/>
  <c r="L54" i="13"/>
  <c r="L57" i="13"/>
  <c r="L60" i="13"/>
  <c r="L63" i="13"/>
  <c r="L66" i="13"/>
  <c r="L69" i="13"/>
  <c r="L72" i="13"/>
  <c r="L75" i="13"/>
  <c r="L78" i="13"/>
  <c r="L81" i="13"/>
  <c r="L84" i="13"/>
  <c r="L87" i="13"/>
  <c r="I26" i="13"/>
  <c r="I38" i="13"/>
  <c r="I50" i="13"/>
  <c r="I62" i="13"/>
  <c r="I74" i="13"/>
  <c r="I86" i="13"/>
  <c r="H29" i="13"/>
  <c r="H41" i="13"/>
  <c r="H53" i="13"/>
  <c r="H65" i="13"/>
  <c r="H77" i="13"/>
  <c r="G20" i="13"/>
  <c r="G32" i="13"/>
  <c r="G44" i="13"/>
  <c r="G56" i="13"/>
  <c r="G68" i="13"/>
  <c r="G80" i="13"/>
  <c r="F23" i="13"/>
  <c r="F35" i="13"/>
  <c r="F47" i="13"/>
  <c r="F59" i="13"/>
  <c r="F71" i="13"/>
  <c r="F83" i="13"/>
  <c r="E26" i="13"/>
  <c r="E38" i="13"/>
  <c r="E50" i="13"/>
  <c r="E62" i="13"/>
  <c r="E74" i="13"/>
  <c r="E86" i="13"/>
  <c r="D29" i="13"/>
  <c r="D41" i="13"/>
  <c r="D53" i="13"/>
  <c r="D65" i="13"/>
  <c r="D77" i="13"/>
  <c r="C20" i="13"/>
  <c r="C32" i="13"/>
  <c r="C44" i="13"/>
  <c r="C56" i="13"/>
  <c r="C68" i="13"/>
  <c r="C80" i="13"/>
  <c r="B23" i="13"/>
  <c r="B35" i="13"/>
  <c r="B47" i="13"/>
  <c r="B59" i="13"/>
  <c r="B71" i="13"/>
  <c r="B83" i="13"/>
  <c r="M21" i="13"/>
  <c r="M24" i="13"/>
  <c r="M27" i="13"/>
  <c r="M30" i="13"/>
  <c r="M33" i="13"/>
  <c r="M36" i="13"/>
  <c r="M39" i="13"/>
  <c r="M42" i="13"/>
  <c r="M45" i="13"/>
  <c r="M48" i="13"/>
  <c r="M51" i="13"/>
  <c r="M54" i="13"/>
  <c r="M57" i="13"/>
  <c r="M60" i="13"/>
  <c r="M63" i="13"/>
  <c r="M66" i="13"/>
  <c r="M69" i="13"/>
  <c r="M72" i="13"/>
  <c r="M75" i="13"/>
  <c r="M78" i="13"/>
  <c r="M81" i="13"/>
  <c r="M84" i="13"/>
  <c r="M87" i="13"/>
  <c r="I27" i="13"/>
  <c r="I39" i="13"/>
  <c r="I51" i="13"/>
  <c r="I63" i="13"/>
  <c r="I75" i="13"/>
  <c r="I87" i="13"/>
  <c r="H30" i="13"/>
  <c r="H42" i="13"/>
  <c r="H54" i="13"/>
  <c r="H66" i="13"/>
  <c r="H78" i="13"/>
  <c r="G21" i="13"/>
  <c r="G33" i="13"/>
  <c r="G45" i="13"/>
  <c r="G57" i="13"/>
  <c r="G69" i="13"/>
  <c r="G81" i="13"/>
  <c r="F24" i="13"/>
  <c r="F36" i="13"/>
  <c r="F48" i="13"/>
  <c r="F60" i="13"/>
  <c r="F72" i="13"/>
  <c r="F84" i="13"/>
  <c r="E27" i="13"/>
  <c r="E39" i="13"/>
  <c r="E51" i="13"/>
  <c r="E63" i="13"/>
  <c r="E75" i="13"/>
  <c r="E87" i="13"/>
  <c r="D30" i="13"/>
  <c r="D42" i="13"/>
  <c r="D54" i="13"/>
  <c r="D66" i="13"/>
  <c r="D78" i="13"/>
  <c r="C21" i="13"/>
  <c r="C33" i="13"/>
  <c r="C45" i="13"/>
  <c r="C57" i="13"/>
  <c r="C69" i="13"/>
  <c r="C81" i="13"/>
  <c r="B24" i="13"/>
  <c r="B36" i="13"/>
  <c r="B48" i="13"/>
  <c r="B60" i="13"/>
  <c r="B72" i="13"/>
  <c r="B84" i="13"/>
  <c r="J22" i="13"/>
  <c r="J25" i="13"/>
  <c r="J28" i="13"/>
  <c r="J31" i="13"/>
  <c r="J34" i="13"/>
  <c r="J37" i="13"/>
  <c r="J40" i="13"/>
  <c r="J43" i="13"/>
  <c r="J46" i="13"/>
  <c r="J49" i="13"/>
  <c r="J52" i="13"/>
  <c r="J55" i="13"/>
  <c r="J58" i="13"/>
  <c r="J61" i="13"/>
  <c r="J64" i="13"/>
  <c r="J67" i="13"/>
  <c r="J70" i="13"/>
  <c r="J73" i="13"/>
  <c r="J76" i="13"/>
  <c r="J79" i="13"/>
  <c r="J82" i="13"/>
  <c r="J85" i="13"/>
  <c r="M19" i="13"/>
  <c r="I28" i="13"/>
  <c r="I40" i="13"/>
  <c r="I52" i="13"/>
  <c r="I64" i="13"/>
  <c r="I76" i="13"/>
  <c r="I19" i="13"/>
  <c r="H31" i="13"/>
  <c r="H43" i="13"/>
  <c r="H55" i="13"/>
  <c r="H67" i="13"/>
  <c r="H79" i="13"/>
  <c r="G22" i="13"/>
  <c r="G34" i="13"/>
  <c r="G46" i="13"/>
  <c r="G58" i="13"/>
  <c r="G70" i="13"/>
  <c r="G82" i="13"/>
  <c r="F25" i="13"/>
  <c r="F37" i="13"/>
  <c r="F49" i="13"/>
  <c r="F61" i="13"/>
  <c r="F73" i="13"/>
  <c r="F85" i="13"/>
  <c r="E28" i="13"/>
  <c r="E40" i="13"/>
  <c r="E52" i="13"/>
  <c r="E64" i="13"/>
  <c r="E76" i="13"/>
  <c r="E19" i="13"/>
  <c r="D31" i="13"/>
  <c r="D43" i="13"/>
  <c r="D55" i="13"/>
  <c r="D67" i="13"/>
  <c r="D79" i="13"/>
  <c r="C22" i="13"/>
  <c r="C34" i="13"/>
  <c r="C46" i="13"/>
  <c r="C58" i="13"/>
  <c r="C70" i="13"/>
  <c r="C82" i="13"/>
  <c r="B25" i="13"/>
  <c r="B37" i="13"/>
  <c r="B49" i="13"/>
  <c r="B61" i="13"/>
  <c r="B73" i="13"/>
  <c r="B85" i="13"/>
  <c r="K22" i="13"/>
  <c r="K25" i="13"/>
  <c r="K28" i="13"/>
  <c r="K31" i="13"/>
  <c r="K34" i="13"/>
  <c r="K37" i="13"/>
  <c r="K40" i="13"/>
  <c r="K43" i="13"/>
  <c r="K46" i="13"/>
  <c r="K49" i="13"/>
  <c r="K52" i="13"/>
  <c r="K55" i="13"/>
  <c r="K58" i="13"/>
  <c r="K61" i="13"/>
  <c r="K64" i="13"/>
  <c r="K67" i="13"/>
  <c r="K70" i="13"/>
  <c r="K73" i="13"/>
  <c r="K76" i="13"/>
  <c r="K79" i="13"/>
  <c r="K82" i="13"/>
  <c r="K85" i="13"/>
  <c r="L19" i="13"/>
  <c r="I29" i="13"/>
  <c r="I41" i="13"/>
  <c r="I53" i="13"/>
  <c r="I65" i="13"/>
  <c r="I77" i="13"/>
  <c r="H20" i="13"/>
  <c r="H32" i="13"/>
  <c r="H44" i="13"/>
  <c r="H56" i="13"/>
  <c r="H68" i="13"/>
  <c r="H80" i="13"/>
  <c r="G23" i="13"/>
  <c r="G35" i="13"/>
  <c r="G47" i="13"/>
  <c r="G59" i="13"/>
  <c r="G71" i="13"/>
  <c r="G83" i="13"/>
  <c r="F26" i="13"/>
  <c r="F38" i="13"/>
  <c r="F50" i="13"/>
  <c r="F62" i="13"/>
  <c r="F74" i="13"/>
  <c r="F86" i="13"/>
  <c r="E29" i="13"/>
  <c r="E41" i="13"/>
  <c r="E53" i="13"/>
  <c r="E65" i="13"/>
  <c r="E77" i="13"/>
  <c r="D20" i="13"/>
  <c r="D32" i="13"/>
  <c r="D44" i="13"/>
  <c r="D56" i="13"/>
  <c r="D68" i="13"/>
  <c r="D80" i="13"/>
  <c r="C23" i="13"/>
  <c r="C35" i="13"/>
  <c r="C47" i="13"/>
  <c r="C59" i="13"/>
  <c r="C71" i="13"/>
  <c r="C83" i="13"/>
  <c r="B26" i="13"/>
  <c r="B38" i="13"/>
  <c r="B50" i="13"/>
  <c r="B62" i="13"/>
  <c r="B74" i="13"/>
  <c r="B86" i="13"/>
  <c r="M28" i="13"/>
  <c r="M31" i="13"/>
  <c r="M37" i="13"/>
  <c r="M43" i="13"/>
  <c r="M49" i="13"/>
  <c r="M52" i="13"/>
  <c r="M58" i="13"/>
  <c r="M64" i="13"/>
  <c r="M70" i="13"/>
  <c r="M79" i="13"/>
  <c r="M82" i="13"/>
  <c r="J19" i="13"/>
  <c r="I43" i="13"/>
  <c r="I67" i="13"/>
  <c r="H22" i="13"/>
  <c r="H46" i="13"/>
  <c r="L22" i="13"/>
  <c r="L25" i="13"/>
  <c r="L28" i="13"/>
  <c r="L31" i="13"/>
  <c r="L34" i="13"/>
  <c r="L37" i="13"/>
  <c r="L40" i="13"/>
  <c r="L43" i="13"/>
  <c r="L46" i="13"/>
  <c r="L49" i="13"/>
  <c r="L52" i="13"/>
  <c r="L55" i="13"/>
  <c r="L58" i="13"/>
  <c r="L61" i="13"/>
  <c r="L64" i="13"/>
  <c r="L67" i="13"/>
  <c r="L70" i="13"/>
  <c r="L73" i="13"/>
  <c r="L76" i="13"/>
  <c r="L79" i="13"/>
  <c r="L82" i="13"/>
  <c r="L85" i="13"/>
  <c r="K19" i="13"/>
  <c r="I30" i="13"/>
  <c r="I42" i="13"/>
  <c r="I54" i="13"/>
  <c r="I66" i="13"/>
  <c r="I78" i="13"/>
  <c r="H21" i="13"/>
  <c r="H33" i="13"/>
  <c r="H45" i="13"/>
  <c r="H57" i="13"/>
  <c r="H69" i="13"/>
  <c r="H81" i="13"/>
  <c r="G24" i="13"/>
  <c r="G36" i="13"/>
  <c r="G48" i="13"/>
  <c r="G60" i="13"/>
  <c r="G72" i="13"/>
  <c r="G84" i="13"/>
  <c r="F27" i="13"/>
  <c r="F39" i="13"/>
  <c r="F51" i="13"/>
  <c r="F63" i="13"/>
  <c r="F75" i="13"/>
  <c r="F87" i="13"/>
  <c r="E30" i="13"/>
  <c r="E42" i="13"/>
  <c r="E54" i="13"/>
  <c r="E66" i="13"/>
  <c r="E78" i="13"/>
  <c r="D21" i="13"/>
  <c r="D33" i="13"/>
  <c r="D45" i="13"/>
  <c r="D57" i="13"/>
  <c r="D69" i="13"/>
  <c r="D81" i="13"/>
  <c r="C24" i="13"/>
  <c r="C36" i="13"/>
  <c r="C48" i="13"/>
  <c r="C60" i="13"/>
  <c r="C72" i="13"/>
  <c r="C84" i="13"/>
  <c r="B27" i="13"/>
  <c r="B39" i="13"/>
  <c r="B51" i="13"/>
  <c r="B63" i="13"/>
  <c r="B75" i="13"/>
  <c r="B87" i="13"/>
  <c r="M25" i="13"/>
  <c r="M34" i="13"/>
  <c r="M40" i="13"/>
  <c r="M46" i="13"/>
  <c r="M55" i="13"/>
  <c r="M61" i="13"/>
  <c r="M67" i="13"/>
  <c r="M73" i="13"/>
  <c r="M76" i="13"/>
  <c r="M85" i="13"/>
  <c r="I31" i="13"/>
  <c r="I55" i="13"/>
  <c r="I79" i="13"/>
  <c r="H34" i="13"/>
  <c r="H58" i="13"/>
  <c r="H82" i="13"/>
  <c r="M22" i="13"/>
  <c r="H70" i="13"/>
  <c r="F76" i="13"/>
  <c r="D27" i="13"/>
  <c r="C30" i="13"/>
  <c r="B33" i="13"/>
  <c r="B19" i="13"/>
  <c r="G25" i="13"/>
  <c r="F19" i="13"/>
  <c r="D34" i="13"/>
  <c r="C37" i="13"/>
  <c r="B40" i="13"/>
  <c r="G37" i="13"/>
  <c r="E31" i="13"/>
  <c r="D39" i="13"/>
  <c r="C42" i="13"/>
  <c r="B45" i="13"/>
  <c r="B81" i="13"/>
  <c r="C85" i="13"/>
  <c r="F64" i="13"/>
  <c r="G49" i="13"/>
  <c r="E43" i="13"/>
  <c r="D46" i="13"/>
  <c r="C49" i="13"/>
  <c r="B52" i="13"/>
  <c r="F45" i="13"/>
  <c r="G61" i="13"/>
  <c r="E48" i="13"/>
  <c r="D51" i="13"/>
  <c r="C54" i="13"/>
  <c r="B57" i="13"/>
  <c r="C78" i="13"/>
  <c r="C25" i="13"/>
  <c r="G73" i="13"/>
  <c r="E55" i="13"/>
  <c r="D58" i="13"/>
  <c r="C61" i="13"/>
  <c r="B64" i="13"/>
  <c r="D75" i="13"/>
  <c r="E79" i="13"/>
  <c r="G85" i="13"/>
  <c r="E60" i="13"/>
  <c r="D63" i="13"/>
  <c r="C66" i="13"/>
  <c r="B69" i="13"/>
  <c r="B28" i="13"/>
  <c r="F28" i="13"/>
  <c r="E67" i="13"/>
  <c r="D70" i="13"/>
  <c r="C73" i="13"/>
  <c r="B76" i="13"/>
  <c r="E72" i="13"/>
  <c r="D82" i="13"/>
  <c r="D22" i="13"/>
  <c r="F40" i="13"/>
  <c r="F52" i="13"/>
  <c r="E84" i="13"/>
  <c r="D87" i="13"/>
  <c r="B2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<sst xmlns="http://schemas.openxmlformats.org/spreadsheetml/2006/main" count="242" uniqueCount="24">
  <si>
    <t>Danske Bank</t>
  </si>
  <si>
    <t>Date</t>
  </si>
  <si>
    <t>Asset Manager</t>
  </si>
  <si>
    <t>Company</t>
  </si>
  <si>
    <t>Value</t>
  </si>
  <si>
    <t>Lists</t>
  </si>
  <si>
    <t>Jyske Bank</t>
  </si>
  <si>
    <t>UN Blacklist 2025</t>
  </si>
  <si>
    <t>SEB</t>
  </si>
  <si>
    <t>AFSC Divestment List 2025</t>
  </si>
  <si>
    <t>UN Blacklist 2023</t>
  </si>
  <si>
    <t>WhoProfits</t>
  </si>
  <si>
    <t>Summary</t>
  </si>
  <si>
    <t>List</t>
  </si>
  <si>
    <t>Bank</t>
  </si>
  <si>
    <t>Total</t>
  </si>
  <si>
    <t>Blacklist</t>
  </si>
  <si>
    <t>Month</t>
  </si>
  <si>
    <t>Companies</t>
  </si>
  <si>
    <t>Total Invested</t>
  </si>
  <si>
    <t>Number of Companies</t>
  </si>
  <si>
    <t xml:space="preserve">AFSC </t>
  </si>
  <si>
    <t>UN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</si>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</sst>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[$kr.-406]_-;\-* #,##0\ [$kr.-406]_-;_-* &quot;-&quot;\ [$kr.-406]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17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" fontId="1" fillId="0" borderId="0" xfId="0" applyNumberFormat="1" applyFont="1"/>
    <xf numFmtId="1" fontId="0" fillId="0" borderId="0" xfId="1" applyNumberFormat="1" applyFont="1"/>
    <xf numFmtId="164" fontId="0" fillId="0" borderId="0" xfId="0" applyNumberFormat="1" applyAlignment="1">
      <alignment horizontal="left"/>
    </xf>
    <xf numFmtId="0" fontId="5" fillId="0" borderId="0" xfId="0" applyFont="1"/>
    <xf numFmtId="1" fontId="0" fillId="0" borderId="1" xfId="0" applyNumberFormat="1" applyBorder="1"/>
    <xf numFmtId="0" fontId="6" fillId="0" borderId="0" xfId="0" applyFont="1"/>
    <xf numFmtId="3" fontId="0" fillId="0" borderId="0" xfId="0" applyNumberFormat="1"/>
    <xf numFmtId="0" fontId="7" fillId="0" borderId="0" xfId="0" applyFont="1"/>
    <xf numFmtId="17" fontId="7" fillId="0" borderId="0" xfId="0" applyNumberFormat="1" applyFont="1"/>
    <xf numFmtId="0" fontId="0" fillId="0" borderId="0" xfId="0" applyAlignment="1">
      <alignment horizontal="center"/>
    </xf>
    <xf numFmtId="17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5">
    <cellStyle name="Comma" xfId="1" builtinId="3"/>
    <cellStyle name="Comma 2" xfId="3" xr:uid="{20EEBF22-0A77-4A4F-905D-223357069376}"/>
    <cellStyle name="Normal" xfId="0" builtinId="0"/>
    <cellStyle name="Normal 3" xfId="2" xr:uid="{A14095AD-0443-4FE0-9D00-44D89FA372BA}"/>
    <cellStyle name="Normal 3 2" xfId="4" xr:uid="{5828D4F3-C30C-4D52-BFA9-D5C7ED06529A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33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0871374197198"/>
          <c:y val="8.8379629629629614E-2"/>
          <c:w val="0.73130554219307797"/>
          <c:h val="0.66475320793234183"/>
        </c:manualLayout>
      </c:layout>
      <c:scatterChart>
        <c:scatterStyle val="lineMarker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Summary'!$B$3:$B$14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A-4023-8F56-4C63A9041CDF}"/>
            </c:ext>
          </c:extLst>
        </c:ser>
        <c:ser>
          <c:idx val="1"/>
          <c:order val="1"/>
          <c:tx>
            <c:strRef>
              <c:f>'2026 Summary'!$D$2</c:f>
              <c:strCache>
                <c:ptCount val="1"/>
                <c:pt idx="0">
                  <c:v>Danske Bank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Summary'!$D$3:$D$14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A-4023-8F56-4C63A9041CDF}"/>
            </c:ext>
          </c:extLst>
        </c:ser>
        <c:ser>
          <c:idx val="2"/>
          <c:order val="2"/>
          <c:tx>
            <c:strRef>
              <c:f>'2026 Summary'!$E$2</c:f>
              <c:strCache>
                <c:ptCount val="1"/>
                <c:pt idx="0">
                  <c:v>Jyske Bank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Summary'!$E$3:$E$14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A-4023-8F56-4C63A9041CDF}"/>
            </c:ext>
          </c:extLst>
        </c:ser>
        <c:ser>
          <c:idx val="3"/>
          <c:order val="3"/>
          <c:tx>
            <c:strRef>
              <c:f>'2026 Summary'!$F$2</c:f>
              <c:strCache>
                <c:ptCount val="1"/>
                <c:pt idx="0">
                  <c:v>SEB</c:v>
                </c:pt>
              </c:strCache>
            </c:strRef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Summary'!$F$3:$F$14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BA-4023-8F56-4C63A904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5455"/>
        <c:axId val="741622095"/>
      </c:scatterChart>
      <c:valAx>
        <c:axId val="741625455"/>
        <c:scaling>
          <c:orientation val="minMax"/>
          <c:max val="46000"/>
          <c:min val="456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Portfolio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2095"/>
        <c:crosses val="autoZero"/>
        <c:crossBetween val="midCat"/>
      </c:valAx>
      <c:valAx>
        <c:axId val="7416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Black</a:t>
                </a:r>
                <a:r>
                  <a:rPr lang="en-GB" baseline="0"/>
                  <a:t>listed Investments (DKK)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5.3676865271068174E-3"/>
              <c:y val="0.17368438320209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\ [$kr.-406]_-;\-* #,##0\ [$kr.-406]_-;_-* &quot;-&quot;\ [$kr.-406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28237587664892"/>
          <c:y val="0.90335593467483233"/>
          <c:w val="0.6850022364567772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97804896574423"/>
          <c:y val="5.7268591426071741E-2"/>
          <c:w val="0.70344962908575337"/>
          <c:h val="0.686049343832020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'2026 Summary'!$G$2</c:f>
              <c:strCache>
                <c:ptCount val="1"/>
                <c:pt idx="0">
                  <c:v>UN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Summary'!$G$3:$G$14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8-4080-AB02-1AF39A89140A}"/>
            </c:ext>
          </c:extLst>
        </c:ser>
        <c:ser>
          <c:idx val="2"/>
          <c:order val="1"/>
          <c:tx>
            <c:strRef>
              <c:f>'2026 Summary'!$H$2</c:f>
              <c:strCache>
                <c:ptCount val="1"/>
                <c:pt idx="0">
                  <c:v>AFSC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Summary'!$H$3:$H$14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48-4080-AB02-1AF39A89140A}"/>
            </c:ext>
          </c:extLst>
        </c:ser>
        <c:ser>
          <c:idx val="3"/>
          <c:order val="2"/>
          <c:tx>
            <c:strRef>
              <c:f>'2026 Summary'!$I$2</c:f>
              <c:strCache>
                <c:ptCount val="1"/>
                <c:pt idx="0">
                  <c:v>WhoProfits</c:v>
                </c:pt>
              </c:strCache>
            </c:strRef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xVal>
            <c:numRef>
              <c:f>'2026 Summary'!$A$3:$A$14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'2026 Summary'!$I$3:$I$14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48-4080-AB02-1AF39A89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5455"/>
        <c:axId val="741622095"/>
      </c:scatterChart>
      <c:valAx>
        <c:axId val="741625455"/>
        <c:scaling>
          <c:orientation val="minMax"/>
          <c:max val="46000"/>
          <c:min val="456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Portfolio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2095"/>
        <c:crosses val="autoZero"/>
        <c:crossBetween val="midCat"/>
      </c:valAx>
      <c:valAx>
        <c:axId val="7416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Black</a:t>
                </a:r>
                <a:r>
                  <a:rPr lang="en-GB" baseline="0"/>
                  <a:t>listed Investments (DKK)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0754898061984677E-2"/>
              <c:y val="9.36843394575678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\ [$kr.-406]_-;\-* #,##0\ [$kr.-406]_-;_-* &quot;-&quot;\ [$kr.-406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91282882244221"/>
          <c:y val="0.89409667541557303"/>
          <c:w val="0.8747145352811606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108585</xdr:colOff>
      <xdr:row>16</xdr:row>
      <xdr:rowOff>5715</xdr:rowOff>
    </xdr:from>
    <xdr:to>
      <xdr:col>20</xdr:col>
      <xdr:colOff>556260</xdr:colOff>
      <xdr:row>31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D52AA-C930-9EDF-8C76-858E4AE80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0</xdr:row>
      <xdr:rowOff>114300</xdr:rowOff>
    </xdr:from>
    <xdr:to>
      <xdr:col>20</xdr:col>
      <xdr:colOff>533400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D7EB9-8F17-4A06-BC65-4C2B31ED7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112B-877D-43F6-930F-9A9DB66F254C}">
  <dimension ref="A1:AB1202"/>
  <sheetViews>
    <sheetView tabSelected="1" workbookViewId="0">
      <selection activeCell="M19" sqref="M19"/>
    </sheetView>
  </sheetViews>
  <sheetFormatPr defaultRowHeight="15" x14ac:dyDescent="0.25"/>
  <cols>
    <col min="1" max="1" width="17.85546875" customWidth="1"/>
    <col min="2" max="13" width="13.5703125" customWidth="1"/>
    <col min="27" max="27" width="8.85546875" style="14"/>
    <col min="28" max="28" width="9.140625" style="14"/>
  </cols>
  <sheetData>
    <row r="1" spans="1:27" x14ac:dyDescent="0.25">
      <c r="A1" s="19" t="s">
        <v>17</v>
      </c>
      <c r="B1" s="19" t="s">
        <v>19</v>
      </c>
      <c r="C1" s="20" t="s">
        <v>20</v>
      </c>
      <c r="D1" s="19" t="s">
        <v>2</v>
      </c>
      <c r="E1" s="19"/>
      <c r="F1" s="19"/>
      <c r="G1" s="19" t="s">
        <v>16</v>
      </c>
      <c r="H1" s="19"/>
      <c r="I1" s="19"/>
    </row>
    <row r="2" spans="1:27" x14ac:dyDescent="0.25">
      <c r="A2" s="19"/>
      <c r="B2" s="19"/>
      <c r="C2" s="20"/>
      <c r="D2" s="16" t="s">
        <v>0</v>
      </c>
      <c r="E2" s="16" t="s">
        <v>6</v>
      </c>
      <c r="F2" s="16" t="s">
        <v>8</v>
      </c>
      <c r="G2" s="16" t="s">
        <v>22</v>
      </c>
      <c r="H2" s="16" t="s">
        <v>21</v>
      </c>
      <c r="I2" s="16" t="s">
        <v>11</v>
      </c>
    </row>
    <row r="3" spans="1:27" x14ac:dyDescent="0.25">
      <c r="A3" s="1">
        <v>46023</v>
      </c>
      <c r="B3" s="5">
        <f>'Jan 2026'!M13</f>
        <v>0</v>
      </c>
      <c r="C3" s="4">
        <f>COUNTIF('Jan 2026'!F2:F150,"*")</f>
        <v>0</v>
      </c>
      <c r="D3" s="5">
        <f>'Jan 2026'!N8</f>
        <v>0</v>
      </c>
      <c r="E3" s="5">
        <f>'Jan 2026'!N9</f>
        <v>0</v>
      </c>
      <c r="F3" s="5">
        <f>'Jan 2026'!N10</f>
        <v>0</v>
      </c>
      <c r="G3" s="5">
        <f>'Jan 2026'!N3</f>
        <v>0</v>
      </c>
      <c r="H3" s="5">
        <f ca="1">'Jan 2026'!N4</f>
        <v>0</v>
      </c>
      <c r="I3" s="5">
        <f>'Jan 2026'!N5</f>
        <v>0</v>
      </c>
      <c r="AA3" s="14">
        <f>'Jan 2026'!F2</f>
        <v>0</v>
      </c>
    </row>
    <row r="4" spans="1:27" x14ac:dyDescent="0.25">
      <c r="A4" s="1">
        <v>46054</v>
      </c>
      <c r="B4" s="5">
        <f>'Feb 2026'!M13</f>
        <v>0</v>
      </c>
      <c r="C4" s="4">
        <f>COUNTIF('Feb 2026'!F2:F150,"*")</f>
        <v>0</v>
      </c>
      <c r="D4" s="5">
        <f>'Feb 2026'!N8</f>
        <v>0</v>
      </c>
      <c r="E4" s="5">
        <f>'Feb 2026'!N9</f>
        <v>0</v>
      </c>
      <c r="F4" s="5">
        <f>'Feb 2026'!N10</f>
        <v>0</v>
      </c>
      <c r="G4" s="5">
        <f>'Feb 2026'!N3</f>
        <v>0</v>
      </c>
      <c r="H4" s="5">
        <f ca="1">'Feb 2026'!N4</f>
        <v>0</v>
      </c>
      <c r="I4" s="5">
        <f>'Feb 2026'!N5</f>
        <v>0</v>
      </c>
      <c r="AA4" s="14">
        <f>'Jan 2026'!F3</f>
        <v>0</v>
      </c>
    </row>
    <row r="5" spans="1:27" x14ac:dyDescent="0.25">
      <c r="A5" s="1">
        <v>46082</v>
      </c>
      <c r="B5" s="5">
        <f>'Mar 2026'!M13</f>
        <v>0</v>
      </c>
      <c r="C5" s="4">
        <f>COUNTIF('Mar 2026'!F2:F150,"*")</f>
        <v>0</v>
      </c>
      <c r="D5" s="5">
        <f>'Mar 2026'!N8</f>
        <v>0</v>
      </c>
      <c r="E5" s="5">
        <f>'Mar 2026'!N9</f>
        <v>0</v>
      </c>
      <c r="F5" s="5">
        <f>'Mar 2026'!N10</f>
        <v>0</v>
      </c>
      <c r="G5" s="5">
        <f>'Mar 2026'!N3</f>
        <v>0</v>
      </c>
      <c r="H5" s="5">
        <f ca="1">'Mar 2026'!N4</f>
        <v>0</v>
      </c>
      <c r="I5" s="5">
        <f>'Mar 2026'!N5</f>
        <v>0</v>
      </c>
      <c r="AA5" s="14">
        <f>'Jan 2026'!F4</f>
        <v>0</v>
      </c>
    </row>
    <row r="6" spans="1:27" x14ac:dyDescent="0.25">
      <c r="A6" s="1">
        <v>46113</v>
      </c>
      <c r="B6" s="5">
        <f>'Apr 2026'!M13</f>
        <v>0</v>
      </c>
      <c r="C6" s="4">
        <f>COUNTIF('Apr 2026'!F2:F150,"*")</f>
        <v>0</v>
      </c>
      <c r="D6" s="5">
        <f>'Apr 2026'!N8</f>
        <v>0</v>
      </c>
      <c r="E6" s="5">
        <f>'Apr 2026'!N9</f>
        <v>0</v>
      </c>
      <c r="F6" s="5">
        <f>'Apr 2026'!N10</f>
        <v>0</v>
      </c>
      <c r="G6" s="5">
        <f>'Apr 2026'!N3</f>
        <v>0</v>
      </c>
      <c r="H6" s="5">
        <f ca="1">'Apr 2026'!N4</f>
        <v>0</v>
      </c>
      <c r="I6" s="5">
        <f>'Apr 2026'!N5</f>
        <v>0</v>
      </c>
      <c r="AA6" s="14">
        <f>'Jan 2026'!F5</f>
        <v>0</v>
      </c>
    </row>
    <row r="7" spans="1:27" x14ac:dyDescent="0.25">
      <c r="A7" s="1">
        <v>46143</v>
      </c>
      <c r="B7" s="5">
        <f>'May 2026'!M13</f>
        <v>0</v>
      </c>
      <c r="C7" s="4">
        <f>COUNTIF('May 2026'!F2:F150,"*")</f>
        <v>0</v>
      </c>
      <c r="D7" s="5">
        <f>'May 2026'!N8</f>
        <v>0</v>
      </c>
      <c r="E7" s="5">
        <f>'May 2026'!N9</f>
        <v>0</v>
      </c>
      <c r="F7" s="5">
        <f>'May 2026'!N10</f>
        <v>0</v>
      </c>
      <c r="G7" s="5">
        <f>'May 2026'!N3</f>
        <v>0</v>
      </c>
      <c r="H7" s="5">
        <f ca="1">'May 2026'!N4</f>
        <v>0</v>
      </c>
      <c r="I7" s="5">
        <f>'May 2026'!N5</f>
        <v>0</v>
      </c>
      <c r="AA7" s="14">
        <f>'Jan 2026'!F6</f>
        <v>0</v>
      </c>
    </row>
    <row r="8" spans="1:27" x14ac:dyDescent="0.25">
      <c r="A8" s="1">
        <v>46174</v>
      </c>
      <c r="B8" s="5">
        <f>'Jun 2026'!M13</f>
        <v>0</v>
      </c>
      <c r="C8" s="4">
        <f>COUNTIF('Jun 2026'!F2:F150,"*")</f>
        <v>0</v>
      </c>
      <c r="D8" s="5">
        <f>'Jun 2026'!N8</f>
        <v>0</v>
      </c>
      <c r="E8" s="5">
        <f>'Jun 2026'!N9</f>
        <v>0</v>
      </c>
      <c r="F8" s="5">
        <f>'Jun 2026'!N10</f>
        <v>0</v>
      </c>
      <c r="G8" s="5">
        <f>'Jun 2026'!N3</f>
        <v>0</v>
      </c>
      <c r="H8" s="5">
        <f ca="1">'Jun 2026'!N4</f>
        <v>0</v>
      </c>
      <c r="I8" s="5">
        <f>'Jun 2026'!N5</f>
        <v>0</v>
      </c>
      <c r="AA8" s="14">
        <f>'Jan 2026'!F7</f>
        <v>0</v>
      </c>
    </row>
    <row r="9" spans="1:27" x14ac:dyDescent="0.25">
      <c r="A9" s="1">
        <v>46204</v>
      </c>
      <c r="B9" s="5">
        <f>'Jul 2026'!M13</f>
        <v>0</v>
      </c>
      <c r="C9" s="4">
        <f>COUNTIF('Jul 2026'!F2:F150,"*")</f>
        <v>0</v>
      </c>
      <c r="D9" s="5">
        <f>'Jul 2026'!N8</f>
        <v>0</v>
      </c>
      <c r="E9" s="5">
        <f>'Jul 2026'!N9</f>
        <v>0</v>
      </c>
      <c r="F9" s="5">
        <f>'Jul 2026'!N10</f>
        <v>0</v>
      </c>
      <c r="G9" s="5">
        <f>'Jul 2026'!N3</f>
        <v>0</v>
      </c>
      <c r="H9" s="5">
        <f ca="1">'Jul 2026'!N4</f>
        <v>0</v>
      </c>
      <c r="I9" s="5">
        <f>'Jul 2026'!N5</f>
        <v>0</v>
      </c>
      <c r="AA9" s="14">
        <f>'Jan 2026'!F8</f>
        <v>0</v>
      </c>
    </row>
    <row r="10" spans="1:27" x14ac:dyDescent="0.25">
      <c r="A10" s="1">
        <v>46235</v>
      </c>
      <c r="B10" s="5">
        <f>'Aug 2026'!M13</f>
        <v>0</v>
      </c>
      <c r="C10" s="4">
        <f>COUNTIF('Aug 2026'!F2:F150,"*")</f>
        <v>0</v>
      </c>
      <c r="D10" s="5">
        <f>'Aug 2026'!N8</f>
        <v>0</v>
      </c>
      <c r="E10" s="5">
        <f>'Aug 2026'!N9</f>
        <v>0</v>
      </c>
      <c r="F10" s="5">
        <f>'Aug 2026'!N10</f>
        <v>0</v>
      </c>
      <c r="G10" s="5">
        <f>'Aug 2026'!N3</f>
        <v>0</v>
      </c>
      <c r="H10" s="5">
        <f ca="1">'Aug 2026'!N4</f>
        <v>0</v>
      </c>
      <c r="I10" s="5">
        <f>'Aug 2026'!N5</f>
        <v>0</v>
      </c>
      <c r="AA10" s="14">
        <f>'Jan 2026'!F9</f>
        <v>0</v>
      </c>
    </row>
    <row r="11" spans="1:27" x14ac:dyDescent="0.25">
      <c r="A11" s="1">
        <v>46266</v>
      </c>
      <c r="B11" s="5">
        <f>'Sep 2026'!M13</f>
        <v>0</v>
      </c>
      <c r="C11" s="4">
        <f>COUNTIF('Sep 2026'!F2:F150,"*")</f>
        <v>0</v>
      </c>
      <c r="D11" s="5">
        <f>'Sep 2026'!N8</f>
        <v>0</v>
      </c>
      <c r="E11" s="5">
        <f>'Sep 2026'!N9</f>
        <v>0</v>
      </c>
      <c r="F11" s="5">
        <f>'Sep 2026'!N10</f>
        <v>0</v>
      </c>
      <c r="G11" s="5">
        <f>'Sep 2026'!N3</f>
        <v>0</v>
      </c>
      <c r="H11" s="5">
        <f ca="1">'Sep 2026'!N4</f>
        <v>0</v>
      </c>
      <c r="I11" s="5">
        <f>'Sep 2026'!N5</f>
        <v>0</v>
      </c>
      <c r="AA11" s="14">
        <f>'Jan 2026'!F10</f>
        <v>0</v>
      </c>
    </row>
    <row r="12" spans="1:27" x14ac:dyDescent="0.25">
      <c r="A12" s="1">
        <v>46296</v>
      </c>
      <c r="B12" s="5">
        <f>'Oct 2026'!M13</f>
        <v>0</v>
      </c>
      <c r="C12" s="4">
        <f>COUNTIF('Oct 2026'!F2:F150,"*")</f>
        <v>0</v>
      </c>
      <c r="D12" s="5">
        <f>'Oct 2026'!N8</f>
        <v>0</v>
      </c>
      <c r="E12" s="5">
        <f>'Oct 2026'!N9</f>
        <v>0</v>
      </c>
      <c r="F12" s="5">
        <f>'Oct 2026'!N10</f>
        <v>0</v>
      </c>
      <c r="G12" s="5">
        <f>'Oct 2026'!N3</f>
        <v>0</v>
      </c>
      <c r="H12" s="5">
        <f ca="1">'Oct 2026'!N4</f>
        <v>0</v>
      </c>
      <c r="I12" s="5">
        <f>'Oct 2026'!N5</f>
        <v>0</v>
      </c>
      <c r="AA12" s="14">
        <f>'Jan 2026'!F11</f>
        <v>0</v>
      </c>
    </row>
    <row r="13" spans="1:27" x14ac:dyDescent="0.25">
      <c r="A13" s="1">
        <v>46327</v>
      </c>
      <c r="B13" s="5">
        <f>'Nov 2026'!M13</f>
        <v>0</v>
      </c>
      <c r="C13" s="4">
        <f>COUNTIF('Nov 2026'!F2:F150,"*")</f>
        <v>0</v>
      </c>
      <c r="D13" s="5">
        <f>'Nov 2026'!N8</f>
        <v>0</v>
      </c>
      <c r="E13" s="5">
        <f>'Nov 2026'!N9</f>
        <v>0</v>
      </c>
      <c r="F13" s="5">
        <f>'Nov 2026'!N10</f>
        <v>0</v>
      </c>
      <c r="G13" s="5">
        <f>'Nov 2026'!N3</f>
        <v>0</v>
      </c>
      <c r="H13" s="5">
        <f ca="1">'Nov 2026'!N4</f>
        <v>0</v>
      </c>
      <c r="I13" s="5">
        <f>'Nov 2026'!N5</f>
        <v>0</v>
      </c>
      <c r="AA13" s="14">
        <f>'Jan 2026'!F12</f>
        <v>0</v>
      </c>
    </row>
    <row r="14" spans="1:27" x14ac:dyDescent="0.25">
      <c r="A14" s="1">
        <v>46357</v>
      </c>
      <c r="B14" s="5">
        <f>'Dec 2026'!M13</f>
        <v>0</v>
      </c>
      <c r="C14" s="4">
        <f>COUNTIF('Dec 2026'!F2:F150,"*")</f>
        <v>0</v>
      </c>
      <c r="D14" s="5">
        <f>'Dec 2026'!N8</f>
        <v>0</v>
      </c>
      <c r="E14" s="5">
        <f>'Dec 2026'!N9</f>
        <v>0</v>
      </c>
      <c r="F14" s="5">
        <f>'Dec 2026'!N10</f>
        <v>0</v>
      </c>
      <c r="G14" s="5">
        <f>'Dec 2026'!N3</f>
        <v>0</v>
      </c>
      <c r="H14" s="5">
        <f ca="1">'Dec 2026'!N4</f>
        <v>0</v>
      </c>
      <c r="I14" s="5">
        <f>'Dec 2026'!N5</f>
        <v>0</v>
      </c>
      <c r="AA14" s="14">
        <f>'Jan 2026'!F13</f>
        <v>0</v>
      </c>
    </row>
    <row r="15" spans="1:27" x14ac:dyDescent="0.25">
      <c r="A15" s="18" t="s">
        <v>23</v>
      </c>
      <c r="B15" s="5">
        <f>AVERAGE(B3:B14)</f>
        <v>0</v>
      </c>
      <c r="AA15" s="14">
        <f>'Jan 2026'!F14</f>
        <v>0</v>
      </c>
    </row>
    <row r="16" spans="1:27" x14ac:dyDescent="0.25">
      <c r="A16" s="18" t="s">
        <v>18</v>
      </c>
      <c r="B16" s="7">
        <f>COUNTIF(A18:A150,"*")</f>
        <v>0</v>
      </c>
      <c r="C16" s="1"/>
      <c r="AA16" s="14">
        <f>'Jan 2026'!F15</f>
        <v>0</v>
      </c>
    </row>
    <row r="17" spans="1:27" x14ac:dyDescent="0.25">
      <c r="AA17" s="14">
        <f>'Jan 2026'!F16</f>
        <v>0</v>
      </c>
    </row>
    <row r="18" spans="1:27" x14ac:dyDescent="0.25">
      <c r="A18" s="15" cm="1">
        <f t="array" ref="A18:A19">_xlfn._xlws.SORT(_xlfn.UNIQUE(AA:AA))</f>
        <v>0</v>
      </c>
      <c r="B18" s="17">
        <f>A3</f>
        <v>46023</v>
      </c>
      <c r="C18" s="17">
        <f>A4</f>
        <v>46054</v>
      </c>
      <c r="D18" s="17">
        <f>A5</f>
        <v>46082</v>
      </c>
      <c r="E18" s="17">
        <f>A6</f>
        <v>46113</v>
      </c>
      <c r="F18" s="17">
        <f>A7</f>
        <v>46143</v>
      </c>
      <c r="G18" s="17">
        <f>A8</f>
        <v>46174</v>
      </c>
      <c r="H18" s="17">
        <f>A9</f>
        <v>46204</v>
      </c>
      <c r="I18" s="17">
        <f>A10</f>
        <v>46235</v>
      </c>
      <c r="J18" s="17">
        <f>A11</f>
        <v>46266</v>
      </c>
      <c r="K18" s="17">
        <f>A12</f>
        <v>46296</v>
      </c>
      <c r="L18" s="17">
        <f>A13</f>
        <v>46327</v>
      </c>
      <c r="M18" s="17">
        <f>A14</f>
        <v>46357</v>
      </c>
      <c r="N18" s="1"/>
      <c r="O18" s="1"/>
      <c r="P18" s="1"/>
      <c r="AA18" s="14">
        <f>'Jan 2026'!F17</f>
        <v>0</v>
      </c>
    </row>
    <row r="19" spans="1:27" x14ac:dyDescent="0.25">
      <c r="A19">
        <v>0</v>
      </c>
      <c r="B19" s="5">
        <f>SUMIF('Jan 2026'!$F$2:$F$150,'2026 Summary'!A19,'Jan 2026'!$G$2:$G$150)</f>
        <v>0</v>
      </c>
      <c r="C19" s="5">
        <f>SUMIF('Feb 2026'!$F$2:$F$150,'2026 Summary'!A19,'Feb 2026'!$G$2:$G$150)</f>
        <v>0</v>
      </c>
      <c r="D19" s="5">
        <f>SUMIF('Mar 2026'!$F$2:$F$150,'2026 Summary'!A19,'Mar 2026'!$G$2:$G$150)</f>
        <v>0</v>
      </c>
      <c r="E19" s="5">
        <f>SUMIF('Apr 2026'!$F$2:$F$150,'2026 Summary'!A19,'Apr 2026'!$G$2:$G$150)</f>
        <v>0</v>
      </c>
      <c r="F19" s="5">
        <f>SUMIF('May 2026'!$F$2:$F$150,'2026 Summary'!A19,'May 2026'!$G$2:$G$150)</f>
        <v>0</v>
      </c>
      <c r="G19" s="5">
        <f>SUMIF('Jun 2026'!$F$2:$F$150,'2026 Summary'!A19,'Jun 2026'!$G$2:$G$150)</f>
        <v>0</v>
      </c>
      <c r="H19" s="5">
        <f>SUMIF('Jul 2026'!$F$2:$F$150,'2026 Summary'!A19,'Jul 2026'!$G$2:$G$150)</f>
        <v>0</v>
      </c>
      <c r="I19" s="5">
        <f>SUMIF('Aug 2026'!$F$2:$F$150,'2026 Summary'!A19,'Aug 2026'!$G$2:$G$150)</f>
        <v>0</v>
      </c>
      <c r="J19" s="5">
        <f>SUMIF('Sep 2026'!$F$2:$F$150,'2026 Summary'!A19,'Sep 2026'!$G$2:$G$150)</f>
        <v>0</v>
      </c>
      <c r="K19" s="5">
        <f>SUMIF('Oct 2026'!$F$2:$F$150,'2026 Summary'!A19,'Oct 2026'!$G$2:$G$150)</f>
        <v>0</v>
      </c>
      <c r="L19" s="5">
        <f>SUMIF('Nov 2026'!$F$2:$F$150,'2026 Summary'!A19,'Nov 2026'!$G$2:$G$150)</f>
        <v>0</v>
      </c>
      <c r="M19" s="5">
        <f>SUMIF('Dec 2026'!$F$2:$F$150,'2026 Summary'!A19,'Dec 2026'!$G$2:$G$150)</f>
        <v>0</v>
      </c>
      <c r="AA19" s="14">
        <f>'Jan 2026'!F18</f>
        <v>0</v>
      </c>
    </row>
    <row r="20" spans="1:27" x14ac:dyDescent="0.25">
      <c r="B20" s="5">
        <f>SUMIF('Jan 2026'!$F$2:$F$150,'2026 Summary'!A20,'Jan 2026'!$G$2:$G$150)</f>
        <v>0</v>
      </c>
      <c r="C20" s="5">
        <f>SUMIF('Feb 2026'!$F$2:$F$150,'2026 Summary'!A20,'Feb 2026'!$G$2:$G$150)</f>
        <v>0</v>
      </c>
      <c r="D20" s="5">
        <f>SUMIF('Mar 2026'!$F$2:$F$150,'2026 Summary'!A20,'Mar 2026'!$G$2:$G$150)</f>
        <v>0</v>
      </c>
      <c r="E20" s="5">
        <f>SUMIF('Apr 2026'!$F$2:$F$150,'2026 Summary'!A20,'Apr 2026'!$G$2:$G$150)</f>
        <v>0</v>
      </c>
      <c r="F20" s="5">
        <f>SUMIF('May 2026'!$F$2:$F$150,'2026 Summary'!A20,'May 2026'!$G$2:$G$150)</f>
        <v>0</v>
      </c>
      <c r="G20" s="5">
        <f>SUMIF('Jun 2026'!$F$2:$F$150,'2026 Summary'!A20,'Jun 2026'!$G$2:$G$150)</f>
        <v>0</v>
      </c>
      <c r="H20" s="5">
        <f>SUMIF('Jul 2026'!$F$2:$F$150,'2026 Summary'!A20,'Jul 2026'!$G$2:$G$150)</f>
        <v>0</v>
      </c>
      <c r="I20" s="5">
        <f>SUMIF('Aug 2026'!$F$2:$F$150,'2026 Summary'!A20,'Aug 2026'!$G$2:$G$150)</f>
        <v>0</v>
      </c>
      <c r="J20" s="5">
        <f>SUMIF('Sep 2026'!$F$2:$F$150,'2026 Summary'!A20,'Sep 2026'!$G$2:$G$150)</f>
        <v>0</v>
      </c>
      <c r="K20" s="5">
        <f>SUMIF('Oct 2026'!$F$2:$F$150,'2026 Summary'!A20,'Oct 2026'!$G$2:$G$150)</f>
        <v>0</v>
      </c>
      <c r="L20" s="5">
        <f>SUMIF('Nov 2026'!$F$2:$F$150,'2026 Summary'!A20,'Nov 2026'!$G$2:$G$150)</f>
        <v>0</v>
      </c>
      <c r="M20" s="5">
        <f>SUMIF('Dec 2026'!$F$2:$F$150,'2026 Summary'!A20,'Dec 2026'!$G$2:$G$150)</f>
        <v>0</v>
      </c>
      <c r="AA20" s="14">
        <f>'Jan 2026'!F19</f>
        <v>0</v>
      </c>
    </row>
    <row r="21" spans="1:27" x14ac:dyDescent="0.25">
      <c r="B21" s="5">
        <f>SUMIF('Jan 2026'!$F$2:$F$150,'2026 Summary'!A21,'Jan 2026'!$G$2:$G$150)</f>
        <v>0</v>
      </c>
      <c r="C21" s="5">
        <f>SUMIF('Feb 2026'!$F$2:$F$150,'2026 Summary'!A21,'Feb 2026'!$G$2:$G$150)</f>
        <v>0</v>
      </c>
      <c r="D21" s="5">
        <f>SUMIF('Mar 2026'!$F$2:$F$150,'2026 Summary'!A21,'Mar 2026'!$G$2:$G$150)</f>
        <v>0</v>
      </c>
      <c r="E21" s="5">
        <f>SUMIF('Apr 2026'!$F$2:$F$150,'2026 Summary'!A21,'Apr 2026'!$G$2:$G$150)</f>
        <v>0</v>
      </c>
      <c r="F21" s="5">
        <f>SUMIF('May 2026'!$F$2:$F$150,'2026 Summary'!A21,'May 2026'!$G$2:$G$150)</f>
        <v>0</v>
      </c>
      <c r="G21" s="5">
        <f>SUMIF('Jun 2026'!$F$2:$F$150,'2026 Summary'!A21,'Jun 2026'!$G$2:$G$150)</f>
        <v>0</v>
      </c>
      <c r="H21" s="5">
        <f>SUMIF('Jul 2026'!$F$2:$F$150,'2026 Summary'!A21,'Jul 2026'!$G$2:$G$150)</f>
        <v>0</v>
      </c>
      <c r="I21" s="5">
        <f>SUMIF('Aug 2026'!$F$2:$F$150,'2026 Summary'!A21,'Aug 2026'!$G$2:$G$150)</f>
        <v>0</v>
      </c>
      <c r="J21" s="5">
        <f>SUMIF('Sep 2026'!$F$2:$F$150,'2026 Summary'!A21,'Sep 2026'!$G$2:$G$150)</f>
        <v>0</v>
      </c>
      <c r="K21" s="5">
        <f>SUMIF('Oct 2026'!$F$2:$F$150,'2026 Summary'!A21,'Oct 2026'!$G$2:$G$150)</f>
        <v>0</v>
      </c>
      <c r="L21" s="5">
        <f>SUMIF('Nov 2026'!$F$2:$F$150,'2026 Summary'!A21,'Nov 2026'!$G$2:$G$150)</f>
        <v>0</v>
      </c>
      <c r="M21" s="5">
        <f>SUMIF('Dec 2026'!$F$2:$F$150,'2026 Summary'!A21,'Dec 2026'!$G$2:$G$150)</f>
        <v>0</v>
      </c>
      <c r="AA21" s="14">
        <f>'Jan 2026'!F20</f>
        <v>0</v>
      </c>
    </row>
    <row r="22" spans="1:27" x14ac:dyDescent="0.25">
      <c r="B22" s="5">
        <f>SUMIF('Jan 2026'!$F$2:$F$150,'2026 Summary'!A22,'Jan 2026'!$G$2:$G$150)</f>
        <v>0</v>
      </c>
      <c r="C22" s="5">
        <f>SUMIF('Feb 2026'!$F$2:$F$150,'2026 Summary'!A22,'Feb 2026'!$G$2:$G$150)</f>
        <v>0</v>
      </c>
      <c r="D22" s="5">
        <f>SUMIF('Mar 2026'!$F$2:$F$150,'2026 Summary'!A22,'Mar 2026'!$G$2:$G$150)</f>
        <v>0</v>
      </c>
      <c r="E22" s="5">
        <f>SUMIF('Apr 2026'!$F$2:$F$150,'2026 Summary'!A22,'Apr 2026'!$G$2:$G$150)</f>
        <v>0</v>
      </c>
      <c r="F22" s="5">
        <f>SUMIF('May 2026'!$F$2:$F$150,'2026 Summary'!A22,'May 2026'!$G$2:$G$150)</f>
        <v>0</v>
      </c>
      <c r="G22" s="5">
        <f>SUMIF('Jun 2026'!$F$2:$F$150,'2026 Summary'!A22,'Jun 2026'!$G$2:$G$150)</f>
        <v>0</v>
      </c>
      <c r="H22" s="5">
        <f>SUMIF('Jul 2026'!$F$2:$F$150,'2026 Summary'!A22,'Jul 2026'!$G$2:$G$150)</f>
        <v>0</v>
      </c>
      <c r="I22" s="5">
        <f>SUMIF('Aug 2026'!$F$2:$F$150,'2026 Summary'!A22,'Aug 2026'!$G$2:$G$150)</f>
        <v>0</v>
      </c>
      <c r="J22" s="5">
        <f>SUMIF('Sep 2026'!$F$2:$F$150,'2026 Summary'!A22,'Sep 2026'!$G$2:$G$150)</f>
        <v>0</v>
      </c>
      <c r="K22" s="5">
        <f>SUMIF('Oct 2026'!$F$2:$F$150,'2026 Summary'!A22,'Oct 2026'!$G$2:$G$150)</f>
        <v>0</v>
      </c>
      <c r="L22" s="5">
        <f>SUMIF('Nov 2026'!$F$2:$F$150,'2026 Summary'!A22,'Nov 2026'!$G$2:$G$150)</f>
        <v>0</v>
      </c>
      <c r="M22" s="5">
        <f>SUMIF('Dec 2026'!$F$2:$F$150,'2026 Summary'!A22,'Dec 2026'!$G$2:$G$150)</f>
        <v>0</v>
      </c>
      <c r="AA22" s="14">
        <f>'Jan 2026'!F21</f>
        <v>0</v>
      </c>
    </row>
    <row r="23" spans="1:27" x14ac:dyDescent="0.25">
      <c r="B23" s="5">
        <f>SUMIF('Jan 2026'!$F$2:$F$150,'2026 Summary'!A23,'Jan 2026'!$G$2:$G$150)</f>
        <v>0</v>
      </c>
      <c r="C23" s="5">
        <f>SUMIF('Feb 2026'!$F$2:$F$150,'2026 Summary'!A23,'Feb 2026'!$G$2:$G$150)</f>
        <v>0</v>
      </c>
      <c r="D23" s="5">
        <f>SUMIF('Mar 2026'!$F$2:$F$150,'2026 Summary'!A23,'Mar 2026'!$G$2:$G$150)</f>
        <v>0</v>
      </c>
      <c r="E23" s="5">
        <f>SUMIF('Apr 2026'!$F$2:$F$150,'2026 Summary'!A23,'Apr 2026'!$G$2:$G$150)</f>
        <v>0</v>
      </c>
      <c r="F23" s="5">
        <f>SUMIF('May 2026'!$F$2:$F$150,'2026 Summary'!A23,'May 2026'!$G$2:$G$150)</f>
        <v>0</v>
      </c>
      <c r="G23" s="5">
        <f>SUMIF('Jun 2026'!$F$2:$F$150,'2026 Summary'!A23,'Jun 2026'!$G$2:$G$150)</f>
        <v>0</v>
      </c>
      <c r="H23" s="5">
        <f>SUMIF('Jul 2026'!$F$2:$F$150,'2026 Summary'!A23,'Jul 2026'!$G$2:$G$150)</f>
        <v>0</v>
      </c>
      <c r="I23" s="5">
        <f>SUMIF('Aug 2026'!$F$2:$F$150,'2026 Summary'!A23,'Aug 2026'!$G$2:$G$150)</f>
        <v>0</v>
      </c>
      <c r="J23" s="5">
        <f>SUMIF('Sep 2026'!$F$2:$F$150,'2026 Summary'!A23,'Sep 2026'!$G$2:$G$150)</f>
        <v>0</v>
      </c>
      <c r="K23" s="5">
        <f>SUMIF('Oct 2026'!$F$2:$F$150,'2026 Summary'!A23,'Oct 2026'!$G$2:$G$150)</f>
        <v>0</v>
      </c>
      <c r="L23" s="5">
        <f>SUMIF('Nov 2026'!$F$2:$F$150,'2026 Summary'!A23,'Nov 2026'!$G$2:$G$150)</f>
        <v>0</v>
      </c>
      <c r="M23" s="5">
        <f>SUMIF('Dec 2026'!$F$2:$F$150,'2026 Summary'!A23,'Dec 2026'!$G$2:$G$150)</f>
        <v>0</v>
      </c>
      <c r="AA23" s="14">
        <f>'Jan 2026'!F22</f>
        <v>0</v>
      </c>
    </row>
    <row r="24" spans="1:27" x14ac:dyDescent="0.25">
      <c r="B24" s="5">
        <f>SUMIF('Jan 2026'!$F$2:$F$150,'2026 Summary'!A24,'Jan 2026'!$G$2:$G$150)</f>
        <v>0</v>
      </c>
      <c r="C24" s="5">
        <f>SUMIF('Feb 2026'!$F$2:$F$150,'2026 Summary'!A24,'Feb 2026'!$G$2:$G$150)</f>
        <v>0</v>
      </c>
      <c r="D24" s="5">
        <f>SUMIF('Mar 2026'!$F$2:$F$150,'2026 Summary'!A24,'Mar 2026'!$G$2:$G$150)</f>
        <v>0</v>
      </c>
      <c r="E24" s="5">
        <f>SUMIF('Apr 2026'!$F$2:$F$150,'2026 Summary'!A24,'Apr 2026'!$G$2:$G$150)</f>
        <v>0</v>
      </c>
      <c r="F24" s="5">
        <f>SUMIF('May 2026'!$F$2:$F$150,'2026 Summary'!A24,'May 2026'!$G$2:$G$150)</f>
        <v>0</v>
      </c>
      <c r="G24" s="5">
        <f>SUMIF('Jun 2026'!$F$2:$F$150,'2026 Summary'!A24,'Jun 2026'!$G$2:$G$150)</f>
        <v>0</v>
      </c>
      <c r="H24" s="5">
        <f>SUMIF('Jul 2026'!$F$2:$F$150,'2026 Summary'!A24,'Jul 2026'!$G$2:$G$150)</f>
        <v>0</v>
      </c>
      <c r="I24" s="5">
        <f>SUMIF('Aug 2026'!$F$2:$F$150,'2026 Summary'!A24,'Aug 2026'!$G$2:$G$150)</f>
        <v>0</v>
      </c>
      <c r="J24" s="5">
        <f>SUMIF('Sep 2026'!$F$2:$F$150,'2026 Summary'!A24,'Sep 2026'!$G$2:$G$150)</f>
        <v>0</v>
      </c>
      <c r="K24" s="5">
        <f>SUMIF('Oct 2026'!$F$2:$F$150,'2026 Summary'!A24,'Oct 2026'!$G$2:$G$150)</f>
        <v>0</v>
      </c>
      <c r="L24" s="5">
        <f>SUMIF('Nov 2026'!$F$2:$F$150,'2026 Summary'!A24,'Nov 2026'!$G$2:$G$150)</f>
        <v>0</v>
      </c>
      <c r="M24" s="5">
        <f>SUMIF('Dec 2026'!$F$2:$F$150,'2026 Summary'!A24,'Dec 2026'!$G$2:$G$150)</f>
        <v>0</v>
      </c>
      <c r="AA24" s="14">
        <f>'Jan 2026'!F23</f>
        <v>0</v>
      </c>
    </row>
    <row r="25" spans="1:27" x14ac:dyDescent="0.25">
      <c r="B25" s="5">
        <f>SUMIF('Jan 2026'!$F$2:$F$150,'2026 Summary'!A25,'Jan 2026'!$G$2:$G$150)</f>
        <v>0</v>
      </c>
      <c r="C25" s="5">
        <f>SUMIF('Feb 2026'!$F$2:$F$150,'2026 Summary'!A25,'Feb 2026'!$G$2:$G$150)</f>
        <v>0</v>
      </c>
      <c r="D25" s="5">
        <f>SUMIF('Mar 2026'!$F$2:$F$150,'2026 Summary'!A25,'Mar 2026'!$G$2:$G$150)</f>
        <v>0</v>
      </c>
      <c r="E25" s="5">
        <f>SUMIF('Apr 2026'!$F$2:$F$150,'2026 Summary'!A25,'Apr 2026'!$G$2:$G$150)</f>
        <v>0</v>
      </c>
      <c r="F25" s="5">
        <f>SUMIF('May 2026'!$F$2:$F$150,'2026 Summary'!A25,'May 2026'!$G$2:$G$150)</f>
        <v>0</v>
      </c>
      <c r="G25" s="5">
        <f>SUMIF('Jun 2026'!$F$2:$F$150,'2026 Summary'!A25,'Jun 2026'!$G$2:$G$150)</f>
        <v>0</v>
      </c>
      <c r="H25" s="5">
        <f>SUMIF('Jul 2026'!$F$2:$F$150,'2026 Summary'!A25,'Jul 2026'!$G$2:$G$150)</f>
        <v>0</v>
      </c>
      <c r="I25" s="5">
        <f>SUMIF('Aug 2026'!$F$2:$F$150,'2026 Summary'!A25,'Aug 2026'!$G$2:$G$150)</f>
        <v>0</v>
      </c>
      <c r="J25" s="5">
        <f>SUMIF('Sep 2026'!$F$2:$F$150,'2026 Summary'!A25,'Sep 2026'!$G$2:$G$150)</f>
        <v>0</v>
      </c>
      <c r="K25" s="5">
        <f>SUMIF('Oct 2026'!$F$2:$F$150,'2026 Summary'!A25,'Oct 2026'!$G$2:$G$150)</f>
        <v>0</v>
      </c>
      <c r="L25" s="5">
        <f>SUMIF('Nov 2026'!$F$2:$F$150,'2026 Summary'!A25,'Nov 2026'!$G$2:$G$150)</f>
        <v>0</v>
      </c>
      <c r="M25" s="5">
        <f>SUMIF('Dec 2026'!$F$2:$F$150,'2026 Summary'!A25,'Dec 2026'!$G$2:$G$150)</f>
        <v>0</v>
      </c>
      <c r="AA25" s="14">
        <f>'Jan 2026'!F24</f>
        <v>0</v>
      </c>
    </row>
    <row r="26" spans="1:27" x14ac:dyDescent="0.25">
      <c r="B26" s="5">
        <f>SUMIF('Jan 2026'!$F$2:$F$150,'2026 Summary'!A26,'Jan 2026'!$G$2:$G$150)</f>
        <v>0</v>
      </c>
      <c r="C26" s="5">
        <f>SUMIF('Feb 2026'!$F$2:$F$150,'2026 Summary'!A26,'Feb 2026'!$G$2:$G$150)</f>
        <v>0</v>
      </c>
      <c r="D26" s="5">
        <f>SUMIF('Mar 2026'!$F$2:$F$150,'2026 Summary'!A26,'Mar 2026'!$G$2:$G$150)</f>
        <v>0</v>
      </c>
      <c r="E26" s="5">
        <f>SUMIF('Apr 2026'!$F$2:$F$150,'2026 Summary'!A26,'Apr 2026'!$G$2:$G$150)</f>
        <v>0</v>
      </c>
      <c r="F26" s="5">
        <f>SUMIF('May 2026'!$F$2:$F$150,'2026 Summary'!A26,'May 2026'!$G$2:$G$150)</f>
        <v>0</v>
      </c>
      <c r="G26" s="5">
        <f>SUMIF('Jun 2026'!$F$2:$F$150,'2026 Summary'!A26,'Jun 2026'!$G$2:$G$150)</f>
        <v>0</v>
      </c>
      <c r="H26" s="5">
        <f>SUMIF('Jul 2026'!$F$2:$F$150,'2026 Summary'!A26,'Jul 2026'!$G$2:$G$150)</f>
        <v>0</v>
      </c>
      <c r="I26" s="5">
        <f>SUMIF('Aug 2026'!$F$2:$F$150,'2026 Summary'!A26,'Aug 2026'!$G$2:$G$150)</f>
        <v>0</v>
      </c>
      <c r="J26" s="5">
        <f>SUMIF('Sep 2026'!$F$2:$F$150,'2026 Summary'!A26,'Sep 2026'!$G$2:$G$150)</f>
        <v>0</v>
      </c>
      <c r="K26" s="5">
        <f>SUMIF('Oct 2026'!$F$2:$F$150,'2026 Summary'!A26,'Oct 2026'!$G$2:$G$150)</f>
        <v>0</v>
      </c>
      <c r="L26" s="5">
        <f>SUMIF('Nov 2026'!$F$2:$F$150,'2026 Summary'!A26,'Nov 2026'!$G$2:$G$150)</f>
        <v>0</v>
      </c>
      <c r="M26" s="5">
        <f>SUMIF('Dec 2026'!$F$2:$F$150,'2026 Summary'!A26,'Dec 2026'!$G$2:$G$150)</f>
        <v>0</v>
      </c>
      <c r="AA26" s="14">
        <f>'Jan 2026'!F25</f>
        <v>0</v>
      </c>
    </row>
    <row r="27" spans="1:27" x14ac:dyDescent="0.25">
      <c r="B27" s="5">
        <f>SUMIF('Jan 2026'!$F$2:$F$150,'2026 Summary'!A27,'Jan 2026'!$G$2:$G$150)</f>
        <v>0</v>
      </c>
      <c r="C27" s="5">
        <f>SUMIF('Feb 2026'!$F$2:$F$150,'2026 Summary'!A27,'Feb 2026'!$G$2:$G$150)</f>
        <v>0</v>
      </c>
      <c r="D27" s="5">
        <f>SUMIF('Mar 2026'!$F$2:$F$150,'2026 Summary'!A27,'Mar 2026'!$G$2:$G$150)</f>
        <v>0</v>
      </c>
      <c r="E27" s="5">
        <f>SUMIF('Apr 2026'!$F$2:$F$150,'2026 Summary'!A27,'Apr 2026'!$G$2:$G$150)</f>
        <v>0</v>
      </c>
      <c r="F27" s="5">
        <f>SUMIF('May 2026'!$F$2:$F$150,'2026 Summary'!A27,'May 2026'!$G$2:$G$150)</f>
        <v>0</v>
      </c>
      <c r="G27" s="5">
        <f>SUMIF('Jun 2026'!$F$2:$F$150,'2026 Summary'!A27,'Jun 2026'!$G$2:$G$150)</f>
        <v>0</v>
      </c>
      <c r="H27" s="5">
        <f>SUMIF('Jul 2026'!$F$2:$F$150,'2026 Summary'!A27,'Jul 2026'!$G$2:$G$150)</f>
        <v>0</v>
      </c>
      <c r="I27" s="5">
        <f>SUMIF('Aug 2026'!$F$2:$F$150,'2026 Summary'!A27,'Aug 2026'!$G$2:$G$150)</f>
        <v>0</v>
      </c>
      <c r="J27" s="5">
        <f>SUMIF('Sep 2026'!$F$2:$F$150,'2026 Summary'!A27,'Sep 2026'!$G$2:$G$150)</f>
        <v>0</v>
      </c>
      <c r="K27" s="5">
        <f>SUMIF('Oct 2026'!$F$2:$F$150,'2026 Summary'!A27,'Oct 2026'!$G$2:$G$150)</f>
        <v>0</v>
      </c>
      <c r="L27" s="5">
        <f>SUMIF('Nov 2026'!$F$2:$F$150,'2026 Summary'!A27,'Nov 2026'!$G$2:$G$150)</f>
        <v>0</v>
      </c>
      <c r="M27" s="5">
        <f>SUMIF('Dec 2026'!$F$2:$F$150,'2026 Summary'!A27,'Dec 2026'!$G$2:$G$150)</f>
        <v>0</v>
      </c>
      <c r="AA27" s="14">
        <f>'Jan 2026'!F26</f>
        <v>0</v>
      </c>
    </row>
    <row r="28" spans="1:27" x14ac:dyDescent="0.25">
      <c r="B28" s="5">
        <f>SUMIF('Jan 2026'!$F$2:$F$150,'2026 Summary'!A28,'Jan 2026'!$G$2:$G$150)</f>
        <v>0</v>
      </c>
      <c r="C28" s="5">
        <f>SUMIF('Feb 2026'!$F$2:$F$150,'2026 Summary'!A28,'Feb 2026'!$G$2:$G$150)</f>
        <v>0</v>
      </c>
      <c r="D28" s="5">
        <f>SUMIF('Mar 2026'!$F$2:$F$150,'2026 Summary'!A28,'Mar 2026'!$G$2:$G$150)</f>
        <v>0</v>
      </c>
      <c r="E28" s="5">
        <f>SUMIF('Apr 2026'!$F$2:$F$150,'2026 Summary'!A28,'Apr 2026'!$G$2:$G$150)</f>
        <v>0</v>
      </c>
      <c r="F28" s="5">
        <f>SUMIF('May 2026'!$F$2:$F$150,'2026 Summary'!A28,'May 2026'!$G$2:$G$150)</f>
        <v>0</v>
      </c>
      <c r="G28" s="5">
        <f>SUMIF('Jun 2026'!$F$2:$F$150,'2026 Summary'!A28,'Jun 2026'!$G$2:$G$150)</f>
        <v>0</v>
      </c>
      <c r="H28" s="5">
        <f>SUMIF('Jul 2026'!$F$2:$F$150,'2026 Summary'!A28,'Jul 2026'!$G$2:$G$150)</f>
        <v>0</v>
      </c>
      <c r="I28" s="5">
        <f>SUMIF('Aug 2026'!$F$2:$F$150,'2026 Summary'!A28,'Aug 2026'!$G$2:$G$150)</f>
        <v>0</v>
      </c>
      <c r="J28" s="5">
        <f>SUMIF('Sep 2026'!$F$2:$F$150,'2026 Summary'!A28,'Sep 2026'!$G$2:$G$150)</f>
        <v>0</v>
      </c>
      <c r="K28" s="5">
        <f>SUMIF('Oct 2026'!$F$2:$F$150,'2026 Summary'!A28,'Oct 2026'!$G$2:$G$150)</f>
        <v>0</v>
      </c>
      <c r="L28" s="5">
        <f>SUMIF('Nov 2026'!$F$2:$F$150,'2026 Summary'!A28,'Nov 2026'!$G$2:$G$150)</f>
        <v>0</v>
      </c>
      <c r="M28" s="5">
        <f>SUMIF('Dec 2026'!$F$2:$F$150,'2026 Summary'!A28,'Dec 2026'!$G$2:$G$150)</f>
        <v>0</v>
      </c>
      <c r="AA28" s="14">
        <f>'Jan 2026'!F27</f>
        <v>0</v>
      </c>
    </row>
    <row r="29" spans="1:27" x14ac:dyDescent="0.25">
      <c r="B29" s="5">
        <f>SUMIF('Jan 2026'!$F$2:$F$150,'2026 Summary'!A29,'Jan 2026'!$G$2:$G$150)</f>
        <v>0</v>
      </c>
      <c r="C29" s="5">
        <f>SUMIF('Feb 2026'!$F$2:$F$150,'2026 Summary'!A29,'Feb 2026'!$G$2:$G$150)</f>
        <v>0</v>
      </c>
      <c r="D29" s="5">
        <f>SUMIF('Mar 2026'!$F$2:$F$150,'2026 Summary'!A29,'Mar 2026'!$G$2:$G$150)</f>
        <v>0</v>
      </c>
      <c r="E29" s="5">
        <f>SUMIF('Apr 2026'!$F$2:$F$150,'2026 Summary'!A29,'Apr 2026'!$G$2:$G$150)</f>
        <v>0</v>
      </c>
      <c r="F29" s="5">
        <f>SUMIF('May 2026'!$F$2:$F$150,'2026 Summary'!A29,'May 2026'!$G$2:$G$150)</f>
        <v>0</v>
      </c>
      <c r="G29" s="5">
        <f>SUMIF('Jun 2026'!$F$2:$F$150,'2026 Summary'!A29,'Jun 2026'!$G$2:$G$150)</f>
        <v>0</v>
      </c>
      <c r="H29" s="5">
        <f>SUMIF('Jul 2026'!$F$2:$F$150,'2026 Summary'!A29,'Jul 2026'!$G$2:$G$150)</f>
        <v>0</v>
      </c>
      <c r="I29" s="5">
        <f>SUMIF('Aug 2026'!$F$2:$F$150,'2026 Summary'!A29,'Aug 2026'!$G$2:$G$150)</f>
        <v>0</v>
      </c>
      <c r="J29" s="5">
        <f>SUMIF('Sep 2026'!$F$2:$F$150,'2026 Summary'!A29,'Sep 2026'!$G$2:$G$150)</f>
        <v>0</v>
      </c>
      <c r="K29" s="5">
        <f>SUMIF('Oct 2026'!$F$2:$F$150,'2026 Summary'!A29,'Oct 2026'!$G$2:$G$150)</f>
        <v>0</v>
      </c>
      <c r="L29" s="5">
        <f>SUMIF('Nov 2026'!$F$2:$F$150,'2026 Summary'!A29,'Nov 2026'!$G$2:$G$150)</f>
        <v>0</v>
      </c>
      <c r="M29" s="5">
        <f>SUMIF('Dec 2026'!$F$2:$F$150,'2026 Summary'!A29,'Dec 2026'!$G$2:$G$150)</f>
        <v>0</v>
      </c>
      <c r="AA29" s="14">
        <f>'Jan 2026'!F28</f>
        <v>0</v>
      </c>
    </row>
    <row r="30" spans="1:27" x14ac:dyDescent="0.25">
      <c r="B30" s="5">
        <f>SUMIF('Jan 2026'!$F$2:$F$150,'2026 Summary'!A30,'Jan 2026'!$G$2:$G$150)</f>
        <v>0</v>
      </c>
      <c r="C30" s="5">
        <f>SUMIF('Feb 2026'!$F$2:$F$150,'2026 Summary'!A30,'Feb 2026'!$G$2:$G$150)</f>
        <v>0</v>
      </c>
      <c r="D30" s="5">
        <f>SUMIF('Mar 2026'!$F$2:$F$150,'2026 Summary'!A30,'Mar 2026'!$G$2:$G$150)</f>
        <v>0</v>
      </c>
      <c r="E30" s="5">
        <f>SUMIF('Apr 2026'!$F$2:$F$150,'2026 Summary'!A30,'Apr 2026'!$G$2:$G$150)</f>
        <v>0</v>
      </c>
      <c r="F30" s="5">
        <f>SUMIF('May 2026'!$F$2:$F$150,'2026 Summary'!A30,'May 2026'!$G$2:$G$150)</f>
        <v>0</v>
      </c>
      <c r="G30" s="5">
        <f>SUMIF('Jun 2026'!$F$2:$F$150,'2026 Summary'!A30,'Jun 2026'!$G$2:$G$150)</f>
        <v>0</v>
      </c>
      <c r="H30" s="5">
        <f>SUMIF('Jul 2026'!$F$2:$F$150,'2026 Summary'!A30,'Jul 2026'!$G$2:$G$150)</f>
        <v>0</v>
      </c>
      <c r="I30" s="5">
        <f>SUMIF('Aug 2026'!$F$2:$F$150,'2026 Summary'!A30,'Aug 2026'!$G$2:$G$150)</f>
        <v>0</v>
      </c>
      <c r="J30" s="5">
        <f>SUMIF('Sep 2026'!$F$2:$F$150,'2026 Summary'!A30,'Sep 2026'!$G$2:$G$150)</f>
        <v>0</v>
      </c>
      <c r="K30" s="5">
        <f>SUMIF('Oct 2026'!$F$2:$F$150,'2026 Summary'!A30,'Oct 2026'!$G$2:$G$150)</f>
        <v>0</v>
      </c>
      <c r="L30" s="5">
        <f>SUMIF('Nov 2026'!$F$2:$F$150,'2026 Summary'!A30,'Nov 2026'!$G$2:$G$150)</f>
        <v>0</v>
      </c>
      <c r="M30" s="5">
        <f>SUMIF('Dec 2026'!$F$2:$F$150,'2026 Summary'!A30,'Dec 2026'!$G$2:$G$150)</f>
        <v>0</v>
      </c>
      <c r="AA30" s="14">
        <f>'Jan 2026'!F29</f>
        <v>0</v>
      </c>
    </row>
    <row r="31" spans="1:27" x14ac:dyDescent="0.25">
      <c r="B31" s="5">
        <f>SUMIF('Jan 2026'!$F$2:$F$150,'2026 Summary'!A31,'Jan 2026'!$G$2:$G$150)</f>
        <v>0</v>
      </c>
      <c r="C31" s="5">
        <f>SUMIF('Feb 2026'!$F$2:$F$150,'2026 Summary'!A31,'Feb 2026'!$G$2:$G$150)</f>
        <v>0</v>
      </c>
      <c r="D31" s="5">
        <f>SUMIF('Mar 2026'!$F$2:$F$150,'2026 Summary'!A31,'Mar 2026'!$G$2:$G$150)</f>
        <v>0</v>
      </c>
      <c r="E31" s="5">
        <f>SUMIF('Apr 2026'!$F$2:$F$150,'2026 Summary'!A31,'Apr 2026'!$G$2:$G$150)</f>
        <v>0</v>
      </c>
      <c r="F31" s="5">
        <f>SUMIF('May 2026'!$F$2:$F$150,'2026 Summary'!A31,'May 2026'!$G$2:$G$150)</f>
        <v>0</v>
      </c>
      <c r="G31" s="5">
        <f>SUMIF('Jun 2026'!$F$2:$F$150,'2026 Summary'!A31,'Jun 2026'!$G$2:$G$150)</f>
        <v>0</v>
      </c>
      <c r="H31" s="5">
        <f>SUMIF('Jul 2026'!$F$2:$F$150,'2026 Summary'!A31,'Jul 2026'!$G$2:$G$150)</f>
        <v>0</v>
      </c>
      <c r="I31" s="5">
        <f>SUMIF('Aug 2026'!$F$2:$F$150,'2026 Summary'!A31,'Aug 2026'!$G$2:$G$150)</f>
        <v>0</v>
      </c>
      <c r="J31" s="5">
        <f>SUMIF('Sep 2026'!$F$2:$F$150,'2026 Summary'!A31,'Sep 2026'!$G$2:$G$150)</f>
        <v>0</v>
      </c>
      <c r="K31" s="5">
        <f>SUMIF('Oct 2026'!$F$2:$F$150,'2026 Summary'!A31,'Oct 2026'!$G$2:$G$150)</f>
        <v>0</v>
      </c>
      <c r="L31" s="5">
        <f>SUMIF('Nov 2026'!$F$2:$F$150,'2026 Summary'!A31,'Nov 2026'!$G$2:$G$150)</f>
        <v>0</v>
      </c>
      <c r="M31" s="5">
        <f>SUMIF('Dec 2026'!$F$2:$F$150,'2026 Summary'!A31,'Dec 2026'!$G$2:$G$150)</f>
        <v>0</v>
      </c>
      <c r="AA31" s="14">
        <f>'Jan 2026'!F30</f>
        <v>0</v>
      </c>
    </row>
    <row r="32" spans="1:27" x14ac:dyDescent="0.25">
      <c r="B32" s="5">
        <f>SUMIF('Jan 2026'!$F$2:$F$150,'2026 Summary'!A32,'Jan 2026'!$G$2:$G$150)</f>
        <v>0</v>
      </c>
      <c r="C32" s="5">
        <f>SUMIF('Feb 2026'!$F$2:$F$150,'2026 Summary'!A32,'Feb 2026'!$G$2:$G$150)</f>
        <v>0</v>
      </c>
      <c r="D32" s="5">
        <f>SUMIF('Mar 2026'!$F$2:$F$150,'2026 Summary'!A32,'Mar 2026'!$G$2:$G$150)</f>
        <v>0</v>
      </c>
      <c r="E32" s="5">
        <f>SUMIF('Apr 2026'!$F$2:$F$150,'2026 Summary'!A32,'Apr 2026'!$G$2:$G$150)</f>
        <v>0</v>
      </c>
      <c r="F32" s="5">
        <f>SUMIF('May 2026'!$F$2:$F$150,'2026 Summary'!A32,'May 2026'!$G$2:$G$150)</f>
        <v>0</v>
      </c>
      <c r="G32" s="5">
        <f>SUMIF('Jun 2026'!$F$2:$F$150,'2026 Summary'!A32,'Jun 2026'!$G$2:$G$150)</f>
        <v>0</v>
      </c>
      <c r="H32" s="5">
        <f>SUMIF('Jul 2026'!$F$2:$F$150,'2026 Summary'!A32,'Jul 2026'!$G$2:$G$150)</f>
        <v>0</v>
      </c>
      <c r="I32" s="5">
        <f>SUMIF('Aug 2026'!$F$2:$F$150,'2026 Summary'!A32,'Aug 2026'!$G$2:$G$150)</f>
        <v>0</v>
      </c>
      <c r="J32" s="5">
        <f>SUMIF('Sep 2026'!$F$2:$F$150,'2026 Summary'!A32,'Sep 2026'!$G$2:$G$150)</f>
        <v>0</v>
      </c>
      <c r="K32" s="5">
        <f>SUMIF('Oct 2026'!$F$2:$F$150,'2026 Summary'!A32,'Oct 2026'!$G$2:$G$150)</f>
        <v>0</v>
      </c>
      <c r="L32" s="5">
        <f>SUMIF('Nov 2026'!$F$2:$F$150,'2026 Summary'!A32,'Nov 2026'!$G$2:$G$150)</f>
        <v>0</v>
      </c>
      <c r="M32" s="5">
        <f>SUMIF('Dec 2026'!$F$2:$F$150,'2026 Summary'!A32,'Dec 2026'!$G$2:$G$150)</f>
        <v>0</v>
      </c>
      <c r="AA32" s="14">
        <f>'Jan 2026'!F31</f>
        <v>0</v>
      </c>
    </row>
    <row r="33" spans="2:27" x14ac:dyDescent="0.25">
      <c r="B33" s="5">
        <f>SUMIF('Jan 2026'!$F$2:$F$150,'2026 Summary'!A33,'Jan 2026'!$G$2:$G$150)</f>
        <v>0</v>
      </c>
      <c r="C33" s="5">
        <f>SUMIF('Feb 2026'!$F$2:$F$150,'2026 Summary'!A33,'Feb 2026'!$G$2:$G$150)</f>
        <v>0</v>
      </c>
      <c r="D33" s="5">
        <f>SUMIF('Mar 2026'!$F$2:$F$150,'2026 Summary'!A33,'Mar 2026'!$G$2:$G$150)</f>
        <v>0</v>
      </c>
      <c r="E33" s="5">
        <f>SUMIF('Apr 2026'!$F$2:$F$150,'2026 Summary'!A33,'Apr 2026'!$G$2:$G$150)</f>
        <v>0</v>
      </c>
      <c r="F33" s="5">
        <f>SUMIF('May 2026'!$F$2:$F$150,'2026 Summary'!A33,'May 2026'!$G$2:$G$150)</f>
        <v>0</v>
      </c>
      <c r="G33" s="5">
        <f>SUMIF('Jun 2026'!$F$2:$F$150,'2026 Summary'!A33,'Jun 2026'!$G$2:$G$150)</f>
        <v>0</v>
      </c>
      <c r="H33" s="5">
        <f>SUMIF('Jul 2026'!$F$2:$F$150,'2026 Summary'!A33,'Jul 2026'!$G$2:$G$150)</f>
        <v>0</v>
      </c>
      <c r="I33" s="5">
        <f>SUMIF('Aug 2026'!$F$2:$F$150,'2026 Summary'!A33,'Aug 2026'!$G$2:$G$150)</f>
        <v>0</v>
      </c>
      <c r="J33" s="5">
        <f>SUMIF('Sep 2026'!$F$2:$F$150,'2026 Summary'!A33,'Sep 2026'!$G$2:$G$150)</f>
        <v>0</v>
      </c>
      <c r="K33" s="5">
        <f>SUMIF('Oct 2026'!$F$2:$F$150,'2026 Summary'!A33,'Oct 2026'!$G$2:$G$150)</f>
        <v>0</v>
      </c>
      <c r="L33" s="5">
        <f>SUMIF('Nov 2026'!$F$2:$F$150,'2026 Summary'!A33,'Nov 2026'!$G$2:$G$150)</f>
        <v>0</v>
      </c>
      <c r="M33" s="5">
        <f>SUMIF('Dec 2026'!$F$2:$F$150,'2026 Summary'!A33,'Dec 2026'!$G$2:$G$150)</f>
        <v>0</v>
      </c>
      <c r="AA33" s="14">
        <f>'Jan 2026'!F32</f>
        <v>0</v>
      </c>
    </row>
    <row r="34" spans="2:27" x14ac:dyDescent="0.25">
      <c r="B34" s="5">
        <f>SUMIF('Jan 2026'!$F$2:$F$150,'2026 Summary'!A34,'Jan 2026'!$G$2:$G$150)</f>
        <v>0</v>
      </c>
      <c r="C34" s="5">
        <f>SUMIF('Feb 2026'!$F$2:$F$150,'2026 Summary'!A34,'Feb 2026'!$G$2:$G$150)</f>
        <v>0</v>
      </c>
      <c r="D34" s="5">
        <f>SUMIF('Mar 2026'!$F$2:$F$150,'2026 Summary'!A34,'Mar 2026'!$G$2:$G$150)</f>
        <v>0</v>
      </c>
      <c r="E34" s="5">
        <f>SUMIF('Apr 2026'!$F$2:$F$150,'2026 Summary'!A34,'Apr 2026'!$G$2:$G$150)</f>
        <v>0</v>
      </c>
      <c r="F34" s="5">
        <f>SUMIF('May 2026'!$F$2:$F$150,'2026 Summary'!A34,'May 2026'!$G$2:$G$150)</f>
        <v>0</v>
      </c>
      <c r="G34" s="5">
        <f>SUMIF('Jun 2026'!$F$2:$F$150,'2026 Summary'!A34,'Jun 2026'!$G$2:$G$150)</f>
        <v>0</v>
      </c>
      <c r="H34" s="5">
        <f>SUMIF('Jul 2026'!$F$2:$F$150,'2026 Summary'!A34,'Jul 2026'!$G$2:$G$150)</f>
        <v>0</v>
      </c>
      <c r="I34" s="5">
        <f>SUMIF('Aug 2026'!$F$2:$F$150,'2026 Summary'!A34,'Aug 2026'!$G$2:$G$150)</f>
        <v>0</v>
      </c>
      <c r="J34" s="5">
        <f>SUMIF('Sep 2026'!$F$2:$F$150,'2026 Summary'!A34,'Sep 2026'!$G$2:$G$150)</f>
        <v>0</v>
      </c>
      <c r="K34" s="5">
        <f>SUMIF('Oct 2026'!$F$2:$F$150,'2026 Summary'!A34,'Oct 2026'!$G$2:$G$150)</f>
        <v>0</v>
      </c>
      <c r="L34" s="5">
        <f>SUMIF('Nov 2026'!$F$2:$F$150,'2026 Summary'!A34,'Nov 2026'!$G$2:$G$150)</f>
        <v>0</v>
      </c>
      <c r="M34" s="5">
        <f>SUMIF('Dec 2026'!$F$2:$F$150,'2026 Summary'!A34,'Dec 2026'!$G$2:$G$150)</f>
        <v>0</v>
      </c>
      <c r="AA34" s="14">
        <f>'Jan 2026'!F33</f>
        <v>0</v>
      </c>
    </row>
    <row r="35" spans="2:27" x14ac:dyDescent="0.25">
      <c r="B35" s="5">
        <f>SUMIF('Jan 2026'!$F$2:$F$150,'2026 Summary'!A35,'Jan 2026'!$G$2:$G$150)</f>
        <v>0</v>
      </c>
      <c r="C35" s="5">
        <f>SUMIF('Feb 2026'!$F$2:$F$150,'2026 Summary'!A35,'Feb 2026'!$G$2:$G$150)</f>
        <v>0</v>
      </c>
      <c r="D35" s="5">
        <f>SUMIF('Mar 2026'!$F$2:$F$150,'2026 Summary'!A35,'Mar 2026'!$G$2:$G$150)</f>
        <v>0</v>
      </c>
      <c r="E35" s="5">
        <f>SUMIF('Apr 2026'!$F$2:$F$150,'2026 Summary'!A35,'Apr 2026'!$G$2:$G$150)</f>
        <v>0</v>
      </c>
      <c r="F35" s="5">
        <f>SUMIF('May 2026'!$F$2:$F$150,'2026 Summary'!A35,'May 2026'!$G$2:$G$150)</f>
        <v>0</v>
      </c>
      <c r="G35" s="5">
        <f>SUMIF('Jun 2026'!$F$2:$F$150,'2026 Summary'!A35,'Jun 2026'!$G$2:$G$150)</f>
        <v>0</v>
      </c>
      <c r="H35" s="5">
        <f>SUMIF('Jul 2026'!$F$2:$F$150,'2026 Summary'!A35,'Jul 2026'!$G$2:$G$150)</f>
        <v>0</v>
      </c>
      <c r="I35" s="5">
        <f>SUMIF('Aug 2026'!$F$2:$F$150,'2026 Summary'!A35,'Aug 2026'!$G$2:$G$150)</f>
        <v>0</v>
      </c>
      <c r="J35" s="5">
        <f>SUMIF('Sep 2026'!$F$2:$F$150,'2026 Summary'!A35,'Sep 2026'!$G$2:$G$150)</f>
        <v>0</v>
      </c>
      <c r="K35" s="5">
        <f>SUMIF('Oct 2026'!$F$2:$F$150,'2026 Summary'!A35,'Oct 2026'!$G$2:$G$150)</f>
        <v>0</v>
      </c>
      <c r="L35" s="5">
        <f>SUMIF('Nov 2026'!$F$2:$F$150,'2026 Summary'!A35,'Nov 2026'!$G$2:$G$150)</f>
        <v>0</v>
      </c>
      <c r="M35" s="5">
        <f>SUMIF('Dec 2026'!$F$2:$F$150,'2026 Summary'!A35,'Dec 2026'!$G$2:$G$150)</f>
        <v>0</v>
      </c>
      <c r="AA35" s="14">
        <f>'Jan 2026'!F34</f>
        <v>0</v>
      </c>
    </row>
    <row r="36" spans="2:27" x14ac:dyDescent="0.25">
      <c r="B36" s="5">
        <f>SUMIF('Jan 2026'!$F$2:$F$150,'2026 Summary'!A36,'Jan 2026'!$G$2:$G$150)</f>
        <v>0</v>
      </c>
      <c r="C36" s="5">
        <f>SUMIF('Feb 2026'!$F$2:$F$150,'2026 Summary'!A36,'Feb 2026'!$G$2:$G$150)</f>
        <v>0</v>
      </c>
      <c r="D36" s="5">
        <f>SUMIF('Mar 2026'!$F$2:$F$150,'2026 Summary'!A36,'Mar 2026'!$G$2:$G$150)</f>
        <v>0</v>
      </c>
      <c r="E36" s="5">
        <f>SUMIF('Apr 2026'!$F$2:$F$150,'2026 Summary'!A36,'Apr 2026'!$G$2:$G$150)</f>
        <v>0</v>
      </c>
      <c r="F36" s="5">
        <f>SUMIF('May 2026'!$F$2:$F$150,'2026 Summary'!A36,'May 2026'!$G$2:$G$150)</f>
        <v>0</v>
      </c>
      <c r="G36" s="5">
        <f>SUMIF('Jun 2026'!$F$2:$F$150,'2026 Summary'!A36,'Jun 2026'!$G$2:$G$150)</f>
        <v>0</v>
      </c>
      <c r="H36" s="5">
        <f>SUMIF('Jul 2026'!$F$2:$F$150,'2026 Summary'!A36,'Jul 2026'!$G$2:$G$150)</f>
        <v>0</v>
      </c>
      <c r="I36" s="5">
        <f>SUMIF('Aug 2026'!$F$2:$F$150,'2026 Summary'!A36,'Aug 2026'!$G$2:$G$150)</f>
        <v>0</v>
      </c>
      <c r="J36" s="5">
        <f>SUMIF('Sep 2026'!$F$2:$F$150,'2026 Summary'!A36,'Sep 2026'!$G$2:$G$150)</f>
        <v>0</v>
      </c>
      <c r="K36" s="5">
        <f>SUMIF('Oct 2026'!$F$2:$F$150,'2026 Summary'!A36,'Oct 2026'!$G$2:$G$150)</f>
        <v>0</v>
      </c>
      <c r="L36" s="5">
        <f>SUMIF('Nov 2026'!$F$2:$F$150,'2026 Summary'!A36,'Nov 2026'!$G$2:$G$150)</f>
        <v>0</v>
      </c>
      <c r="M36" s="5">
        <f>SUMIF('Dec 2026'!$F$2:$F$150,'2026 Summary'!A36,'Dec 2026'!$G$2:$G$150)</f>
        <v>0</v>
      </c>
      <c r="AA36" s="14">
        <f>'Jan 2026'!F35</f>
        <v>0</v>
      </c>
    </row>
    <row r="37" spans="2:27" x14ac:dyDescent="0.25">
      <c r="B37" s="5">
        <f>SUMIF('Jan 2026'!$F$2:$F$150,'2026 Summary'!A37,'Jan 2026'!$G$2:$G$150)</f>
        <v>0</v>
      </c>
      <c r="C37" s="5">
        <f>SUMIF('Feb 2026'!$F$2:$F$150,'2026 Summary'!A37,'Feb 2026'!$G$2:$G$150)</f>
        <v>0</v>
      </c>
      <c r="D37" s="5">
        <f>SUMIF('Mar 2026'!$F$2:$F$150,'2026 Summary'!A37,'Mar 2026'!$G$2:$G$150)</f>
        <v>0</v>
      </c>
      <c r="E37" s="5">
        <f>SUMIF('Apr 2026'!$F$2:$F$150,'2026 Summary'!A37,'Apr 2026'!$G$2:$G$150)</f>
        <v>0</v>
      </c>
      <c r="F37" s="5">
        <f>SUMIF('May 2026'!$F$2:$F$150,'2026 Summary'!A37,'May 2026'!$G$2:$G$150)</f>
        <v>0</v>
      </c>
      <c r="G37" s="5">
        <f>SUMIF('Jun 2026'!$F$2:$F$150,'2026 Summary'!A37,'Jun 2026'!$G$2:$G$150)</f>
        <v>0</v>
      </c>
      <c r="H37" s="5">
        <f>SUMIF('Jul 2026'!$F$2:$F$150,'2026 Summary'!A37,'Jul 2026'!$G$2:$G$150)</f>
        <v>0</v>
      </c>
      <c r="I37" s="5">
        <f>SUMIF('Aug 2026'!$F$2:$F$150,'2026 Summary'!A37,'Aug 2026'!$G$2:$G$150)</f>
        <v>0</v>
      </c>
      <c r="J37" s="5">
        <f>SUMIF('Sep 2026'!$F$2:$F$150,'2026 Summary'!A37,'Sep 2026'!$G$2:$G$150)</f>
        <v>0</v>
      </c>
      <c r="K37" s="5">
        <f>SUMIF('Oct 2026'!$F$2:$F$150,'2026 Summary'!A37,'Oct 2026'!$G$2:$G$150)</f>
        <v>0</v>
      </c>
      <c r="L37" s="5">
        <f>SUMIF('Nov 2026'!$F$2:$F$150,'2026 Summary'!A37,'Nov 2026'!$G$2:$G$150)</f>
        <v>0</v>
      </c>
      <c r="M37" s="5">
        <f>SUMIF('Dec 2026'!$F$2:$F$150,'2026 Summary'!A37,'Dec 2026'!$G$2:$G$150)</f>
        <v>0</v>
      </c>
      <c r="AA37" s="14">
        <f>'Jan 2026'!F36</f>
        <v>0</v>
      </c>
    </row>
    <row r="38" spans="2:27" x14ac:dyDescent="0.25">
      <c r="B38" s="5">
        <f>SUMIF('Jan 2026'!$F$2:$F$150,'2026 Summary'!A38,'Jan 2026'!$G$2:$G$150)</f>
        <v>0</v>
      </c>
      <c r="C38" s="5">
        <f>SUMIF('Feb 2026'!$F$2:$F$150,'2026 Summary'!A38,'Feb 2026'!$G$2:$G$150)</f>
        <v>0</v>
      </c>
      <c r="D38" s="5">
        <f>SUMIF('Mar 2026'!$F$2:$F$150,'2026 Summary'!A38,'Mar 2026'!$G$2:$G$150)</f>
        <v>0</v>
      </c>
      <c r="E38" s="5">
        <f>SUMIF('Apr 2026'!$F$2:$F$150,'2026 Summary'!A38,'Apr 2026'!$G$2:$G$150)</f>
        <v>0</v>
      </c>
      <c r="F38" s="5">
        <f>SUMIF('May 2026'!$F$2:$F$150,'2026 Summary'!A38,'May 2026'!$G$2:$G$150)</f>
        <v>0</v>
      </c>
      <c r="G38" s="5">
        <f>SUMIF('Jun 2026'!$F$2:$F$150,'2026 Summary'!A38,'Jun 2026'!$G$2:$G$150)</f>
        <v>0</v>
      </c>
      <c r="H38" s="5">
        <f>SUMIF('Jul 2026'!$F$2:$F$150,'2026 Summary'!A38,'Jul 2026'!$G$2:$G$150)</f>
        <v>0</v>
      </c>
      <c r="I38" s="5">
        <f>SUMIF('Aug 2026'!$F$2:$F$150,'2026 Summary'!A38,'Aug 2026'!$G$2:$G$150)</f>
        <v>0</v>
      </c>
      <c r="J38" s="5">
        <f>SUMIF('Sep 2026'!$F$2:$F$150,'2026 Summary'!A38,'Sep 2026'!$G$2:$G$150)</f>
        <v>0</v>
      </c>
      <c r="K38" s="5">
        <f>SUMIF('Oct 2026'!$F$2:$F$150,'2026 Summary'!A38,'Oct 2026'!$G$2:$G$150)</f>
        <v>0</v>
      </c>
      <c r="L38" s="5">
        <f>SUMIF('Nov 2026'!$F$2:$F$150,'2026 Summary'!A38,'Nov 2026'!$G$2:$G$150)</f>
        <v>0</v>
      </c>
      <c r="M38" s="5">
        <f>SUMIF('Dec 2026'!$F$2:$F$150,'2026 Summary'!A38,'Dec 2026'!$G$2:$G$150)</f>
        <v>0</v>
      </c>
      <c r="AA38" s="14">
        <f>'Jan 2026'!F37</f>
        <v>0</v>
      </c>
    </row>
    <row r="39" spans="2:27" x14ac:dyDescent="0.25">
      <c r="B39" s="5">
        <f>SUMIF('Jan 2026'!$F$2:$F$150,'2026 Summary'!A39,'Jan 2026'!$G$2:$G$150)</f>
        <v>0</v>
      </c>
      <c r="C39" s="5">
        <f>SUMIF('Feb 2026'!$F$2:$F$150,'2026 Summary'!A39,'Feb 2026'!$G$2:$G$150)</f>
        <v>0</v>
      </c>
      <c r="D39" s="5">
        <f>SUMIF('Mar 2026'!$F$2:$F$150,'2026 Summary'!A39,'Mar 2026'!$G$2:$G$150)</f>
        <v>0</v>
      </c>
      <c r="E39" s="5">
        <f>SUMIF('Apr 2026'!$F$2:$F$150,'2026 Summary'!A39,'Apr 2026'!$G$2:$G$150)</f>
        <v>0</v>
      </c>
      <c r="F39" s="5">
        <f>SUMIF('May 2026'!$F$2:$F$150,'2026 Summary'!A39,'May 2026'!$G$2:$G$150)</f>
        <v>0</v>
      </c>
      <c r="G39" s="5">
        <f>SUMIF('Jun 2026'!$F$2:$F$150,'2026 Summary'!A39,'Jun 2026'!$G$2:$G$150)</f>
        <v>0</v>
      </c>
      <c r="H39" s="5">
        <f>SUMIF('Jul 2026'!$F$2:$F$150,'2026 Summary'!A39,'Jul 2026'!$G$2:$G$150)</f>
        <v>0</v>
      </c>
      <c r="I39" s="5">
        <f>SUMIF('Aug 2026'!$F$2:$F$150,'2026 Summary'!A39,'Aug 2026'!$G$2:$G$150)</f>
        <v>0</v>
      </c>
      <c r="J39" s="5">
        <f>SUMIF('Sep 2026'!$F$2:$F$150,'2026 Summary'!A39,'Sep 2026'!$G$2:$G$150)</f>
        <v>0</v>
      </c>
      <c r="K39" s="5">
        <f>SUMIF('Oct 2026'!$F$2:$F$150,'2026 Summary'!A39,'Oct 2026'!$G$2:$G$150)</f>
        <v>0</v>
      </c>
      <c r="L39" s="5">
        <f>SUMIF('Nov 2026'!$F$2:$F$150,'2026 Summary'!A39,'Nov 2026'!$G$2:$G$150)</f>
        <v>0</v>
      </c>
      <c r="M39" s="5">
        <f>SUMIF('Dec 2026'!$F$2:$F$150,'2026 Summary'!A39,'Dec 2026'!$G$2:$G$150)</f>
        <v>0</v>
      </c>
      <c r="AA39" s="14">
        <f>'Jan 2026'!F38</f>
        <v>0</v>
      </c>
    </row>
    <row r="40" spans="2:27" x14ac:dyDescent="0.25">
      <c r="B40" s="5">
        <f>SUMIF('Jan 2026'!$F$2:$F$150,'2026 Summary'!A40,'Jan 2026'!$G$2:$G$150)</f>
        <v>0</v>
      </c>
      <c r="C40" s="5">
        <f>SUMIF('Feb 2026'!$F$2:$F$150,'2026 Summary'!A40,'Feb 2026'!$G$2:$G$150)</f>
        <v>0</v>
      </c>
      <c r="D40" s="5">
        <f>SUMIF('Mar 2026'!$F$2:$F$150,'2026 Summary'!A40,'Mar 2026'!$G$2:$G$150)</f>
        <v>0</v>
      </c>
      <c r="E40" s="5">
        <f>SUMIF('Apr 2026'!$F$2:$F$150,'2026 Summary'!A40,'Apr 2026'!$G$2:$G$150)</f>
        <v>0</v>
      </c>
      <c r="F40" s="5">
        <f>SUMIF('May 2026'!$F$2:$F$150,'2026 Summary'!A40,'May 2026'!$G$2:$G$150)</f>
        <v>0</v>
      </c>
      <c r="G40" s="5">
        <f>SUMIF('Jun 2026'!$F$2:$F$150,'2026 Summary'!A40,'Jun 2026'!$G$2:$G$150)</f>
        <v>0</v>
      </c>
      <c r="H40" s="5">
        <f>SUMIF('Jul 2026'!$F$2:$F$150,'2026 Summary'!A40,'Jul 2026'!$G$2:$G$150)</f>
        <v>0</v>
      </c>
      <c r="I40" s="5">
        <f>SUMIF('Aug 2026'!$F$2:$F$150,'2026 Summary'!A40,'Aug 2026'!$G$2:$G$150)</f>
        <v>0</v>
      </c>
      <c r="J40" s="5">
        <f>SUMIF('Sep 2026'!$F$2:$F$150,'2026 Summary'!A40,'Sep 2026'!$G$2:$G$150)</f>
        <v>0</v>
      </c>
      <c r="K40" s="5">
        <f>SUMIF('Oct 2026'!$F$2:$F$150,'2026 Summary'!A40,'Oct 2026'!$G$2:$G$150)</f>
        <v>0</v>
      </c>
      <c r="L40" s="5">
        <f>SUMIF('Nov 2026'!$F$2:$F$150,'2026 Summary'!A40,'Nov 2026'!$G$2:$G$150)</f>
        <v>0</v>
      </c>
      <c r="M40" s="5">
        <f>SUMIF('Dec 2026'!$F$2:$F$150,'2026 Summary'!A40,'Dec 2026'!$G$2:$G$150)</f>
        <v>0</v>
      </c>
      <c r="AA40" s="14">
        <f>'Jan 2026'!F39</f>
        <v>0</v>
      </c>
    </row>
    <row r="41" spans="2:27" x14ac:dyDescent="0.25">
      <c r="B41" s="5">
        <f>SUMIF('Jan 2026'!$F$2:$F$150,'2026 Summary'!A41,'Jan 2026'!$G$2:$G$150)</f>
        <v>0</v>
      </c>
      <c r="C41" s="5">
        <f>SUMIF('Feb 2026'!$F$2:$F$150,'2026 Summary'!A41,'Feb 2026'!$G$2:$G$150)</f>
        <v>0</v>
      </c>
      <c r="D41" s="5">
        <f>SUMIF('Mar 2026'!$F$2:$F$150,'2026 Summary'!A41,'Mar 2026'!$G$2:$G$150)</f>
        <v>0</v>
      </c>
      <c r="E41" s="5">
        <f>SUMIF('Apr 2026'!$F$2:$F$150,'2026 Summary'!A41,'Apr 2026'!$G$2:$G$150)</f>
        <v>0</v>
      </c>
      <c r="F41" s="5">
        <f>SUMIF('May 2026'!$F$2:$F$150,'2026 Summary'!A41,'May 2026'!$G$2:$G$150)</f>
        <v>0</v>
      </c>
      <c r="G41" s="5">
        <f>SUMIF('Jun 2026'!$F$2:$F$150,'2026 Summary'!A41,'Jun 2026'!$G$2:$G$150)</f>
        <v>0</v>
      </c>
      <c r="H41" s="5">
        <f>SUMIF('Jul 2026'!$F$2:$F$150,'2026 Summary'!A41,'Jul 2026'!$G$2:$G$150)</f>
        <v>0</v>
      </c>
      <c r="I41" s="5">
        <f>SUMIF('Aug 2026'!$F$2:$F$150,'2026 Summary'!A41,'Aug 2026'!$G$2:$G$150)</f>
        <v>0</v>
      </c>
      <c r="J41" s="5">
        <f>SUMIF('Sep 2026'!$F$2:$F$150,'2026 Summary'!A41,'Sep 2026'!$G$2:$G$150)</f>
        <v>0</v>
      </c>
      <c r="K41" s="5">
        <f>SUMIF('Oct 2026'!$F$2:$F$150,'2026 Summary'!A41,'Oct 2026'!$G$2:$G$150)</f>
        <v>0</v>
      </c>
      <c r="L41" s="5">
        <f>SUMIF('Nov 2026'!$F$2:$F$150,'2026 Summary'!A41,'Nov 2026'!$G$2:$G$150)</f>
        <v>0</v>
      </c>
      <c r="M41" s="5">
        <f>SUMIF('Dec 2026'!$F$2:$F$150,'2026 Summary'!A41,'Dec 2026'!$G$2:$G$150)</f>
        <v>0</v>
      </c>
      <c r="AA41" s="14">
        <f>'Jan 2026'!F40</f>
        <v>0</v>
      </c>
    </row>
    <row r="42" spans="2:27" x14ac:dyDescent="0.25">
      <c r="B42" s="5">
        <f>SUMIF('Jan 2026'!$F$2:$F$150,'2026 Summary'!A42,'Jan 2026'!$G$2:$G$150)</f>
        <v>0</v>
      </c>
      <c r="C42" s="5">
        <f>SUMIF('Feb 2026'!$F$2:$F$150,'2026 Summary'!A42,'Feb 2026'!$G$2:$G$150)</f>
        <v>0</v>
      </c>
      <c r="D42" s="5">
        <f>SUMIF('Mar 2026'!$F$2:$F$150,'2026 Summary'!A42,'Mar 2026'!$G$2:$G$150)</f>
        <v>0</v>
      </c>
      <c r="E42" s="5">
        <f>SUMIF('Apr 2026'!$F$2:$F$150,'2026 Summary'!A42,'Apr 2026'!$G$2:$G$150)</f>
        <v>0</v>
      </c>
      <c r="F42" s="5">
        <f>SUMIF('May 2026'!$F$2:$F$150,'2026 Summary'!A42,'May 2026'!$G$2:$G$150)</f>
        <v>0</v>
      </c>
      <c r="G42" s="5">
        <f>SUMIF('Jun 2026'!$F$2:$F$150,'2026 Summary'!A42,'Jun 2026'!$G$2:$G$150)</f>
        <v>0</v>
      </c>
      <c r="H42" s="5">
        <f>SUMIF('Jul 2026'!$F$2:$F$150,'2026 Summary'!A42,'Jul 2026'!$G$2:$G$150)</f>
        <v>0</v>
      </c>
      <c r="I42" s="5">
        <f>SUMIF('Aug 2026'!$F$2:$F$150,'2026 Summary'!A42,'Aug 2026'!$G$2:$G$150)</f>
        <v>0</v>
      </c>
      <c r="J42" s="5">
        <f>SUMIF('Sep 2026'!$F$2:$F$150,'2026 Summary'!A42,'Sep 2026'!$G$2:$G$150)</f>
        <v>0</v>
      </c>
      <c r="K42" s="5">
        <f>SUMIF('Oct 2026'!$F$2:$F$150,'2026 Summary'!A42,'Oct 2026'!$G$2:$G$150)</f>
        <v>0</v>
      </c>
      <c r="L42" s="5">
        <f>SUMIF('Nov 2026'!$F$2:$F$150,'2026 Summary'!A42,'Nov 2026'!$G$2:$G$150)</f>
        <v>0</v>
      </c>
      <c r="M42" s="5">
        <f>SUMIF('Dec 2026'!$F$2:$F$150,'2026 Summary'!A42,'Dec 2026'!$G$2:$G$150)</f>
        <v>0</v>
      </c>
      <c r="AA42" s="14">
        <f>'Jan 2026'!F41</f>
        <v>0</v>
      </c>
    </row>
    <row r="43" spans="2:27" x14ac:dyDescent="0.25">
      <c r="B43" s="5">
        <f>SUMIF('Jan 2026'!$F$2:$F$150,'2026 Summary'!A43,'Jan 2026'!$G$2:$G$150)</f>
        <v>0</v>
      </c>
      <c r="C43" s="5">
        <f>SUMIF('Feb 2026'!$F$2:$F$150,'2026 Summary'!A43,'Feb 2026'!$G$2:$G$150)</f>
        <v>0</v>
      </c>
      <c r="D43" s="5">
        <f>SUMIF('Mar 2026'!$F$2:$F$150,'2026 Summary'!A43,'Mar 2026'!$G$2:$G$150)</f>
        <v>0</v>
      </c>
      <c r="E43" s="5">
        <f>SUMIF('Apr 2026'!$F$2:$F$150,'2026 Summary'!A43,'Apr 2026'!$G$2:$G$150)</f>
        <v>0</v>
      </c>
      <c r="F43" s="5">
        <f>SUMIF('May 2026'!$F$2:$F$150,'2026 Summary'!A43,'May 2026'!$G$2:$G$150)</f>
        <v>0</v>
      </c>
      <c r="G43" s="5">
        <f>SUMIF('Jun 2026'!$F$2:$F$150,'2026 Summary'!A43,'Jun 2026'!$G$2:$G$150)</f>
        <v>0</v>
      </c>
      <c r="H43" s="5">
        <f>SUMIF('Jul 2026'!$F$2:$F$150,'2026 Summary'!A43,'Jul 2026'!$G$2:$G$150)</f>
        <v>0</v>
      </c>
      <c r="I43" s="5">
        <f>SUMIF('Aug 2026'!$F$2:$F$150,'2026 Summary'!A43,'Aug 2026'!$G$2:$G$150)</f>
        <v>0</v>
      </c>
      <c r="J43" s="5">
        <f>SUMIF('Sep 2026'!$F$2:$F$150,'2026 Summary'!A43,'Sep 2026'!$G$2:$G$150)</f>
        <v>0</v>
      </c>
      <c r="K43" s="5">
        <f>SUMIF('Oct 2026'!$F$2:$F$150,'2026 Summary'!A43,'Oct 2026'!$G$2:$G$150)</f>
        <v>0</v>
      </c>
      <c r="L43" s="5">
        <f>SUMIF('Nov 2026'!$F$2:$F$150,'2026 Summary'!A43,'Nov 2026'!$G$2:$G$150)</f>
        <v>0</v>
      </c>
      <c r="M43" s="5">
        <f>SUMIF('Dec 2026'!$F$2:$F$150,'2026 Summary'!A43,'Dec 2026'!$G$2:$G$150)</f>
        <v>0</v>
      </c>
      <c r="AA43" s="14">
        <f>'Jan 2026'!F42</f>
        <v>0</v>
      </c>
    </row>
    <row r="44" spans="2:27" x14ac:dyDescent="0.25">
      <c r="B44" s="5">
        <f>SUMIF('Jan 2026'!$F$2:$F$150,'2026 Summary'!A44,'Jan 2026'!$G$2:$G$150)</f>
        <v>0</v>
      </c>
      <c r="C44" s="5">
        <f>SUMIF('Feb 2026'!$F$2:$F$150,'2026 Summary'!A44,'Feb 2026'!$G$2:$G$150)</f>
        <v>0</v>
      </c>
      <c r="D44" s="5">
        <f>SUMIF('Mar 2026'!$F$2:$F$150,'2026 Summary'!A44,'Mar 2026'!$G$2:$G$150)</f>
        <v>0</v>
      </c>
      <c r="E44" s="5">
        <f>SUMIF('Apr 2026'!$F$2:$F$150,'2026 Summary'!A44,'Apr 2026'!$G$2:$G$150)</f>
        <v>0</v>
      </c>
      <c r="F44" s="5">
        <f>SUMIF('May 2026'!$F$2:$F$150,'2026 Summary'!A44,'May 2026'!$G$2:$G$150)</f>
        <v>0</v>
      </c>
      <c r="G44" s="5">
        <f>SUMIF('Jun 2026'!$F$2:$F$150,'2026 Summary'!A44,'Jun 2026'!$G$2:$G$150)</f>
        <v>0</v>
      </c>
      <c r="H44" s="5">
        <f>SUMIF('Jul 2026'!$F$2:$F$150,'2026 Summary'!A44,'Jul 2026'!$G$2:$G$150)</f>
        <v>0</v>
      </c>
      <c r="I44" s="5">
        <f>SUMIF('Aug 2026'!$F$2:$F$150,'2026 Summary'!A44,'Aug 2026'!$G$2:$G$150)</f>
        <v>0</v>
      </c>
      <c r="J44" s="5">
        <f>SUMIF('Sep 2026'!$F$2:$F$150,'2026 Summary'!A44,'Sep 2026'!$G$2:$G$150)</f>
        <v>0</v>
      </c>
      <c r="K44" s="5">
        <f>SUMIF('Oct 2026'!$F$2:$F$150,'2026 Summary'!A44,'Oct 2026'!$G$2:$G$150)</f>
        <v>0</v>
      </c>
      <c r="L44" s="5">
        <f>SUMIF('Nov 2026'!$F$2:$F$150,'2026 Summary'!A44,'Nov 2026'!$G$2:$G$150)</f>
        <v>0</v>
      </c>
      <c r="M44" s="5">
        <f>SUMIF('Dec 2026'!$F$2:$F$150,'2026 Summary'!A44,'Dec 2026'!$G$2:$G$150)</f>
        <v>0</v>
      </c>
      <c r="AA44" s="14">
        <f>'Jan 2026'!F43</f>
        <v>0</v>
      </c>
    </row>
    <row r="45" spans="2:27" x14ac:dyDescent="0.25">
      <c r="B45" s="5">
        <f>SUMIF('Jan 2026'!$F$2:$F$150,'2026 Summary'!A45,'Jan 2026'!$G$2:$G$150)</f>
        <v>0</v>
      </c>
      <c r="C45" s="5">
        <f>SUMIF('Feb 2026'!$F$2:$F$150,'2026 Summary'!A45,'Feb 2026'!$G$2:$G$150)</f>
        <v>0</v>
      </c>
      <c r="D45" s="5">
        <f>SUMIF('Mar 2026'!$F$2:$F$150,'2026 Summary'!A45,'Mar 2026'!$G$2:$G$150)</f>
        <v>0</v>
      </c>
      <c r="E45" s="5">
        <f>SUMIF('Apr 2026'!$F$2:$F$150,'2026 Summary'!A45,'Apr 2026'!$G$2:$G$150)</f>
        <v>0</v>
      </c>
      <c r="F45" s="5">
        <f>SUMIF('May 2026'!$F$2:$F$150,'2026 Summary'!A45,'May 2026'!$G$2:$G$150)</f>
        <v>0</v>
      </c>
      <c r="G45" s="5">
        <f>SUMIF('Jun 2026'!$F$2:$F$150,'2026 Summary'!A45,'Jun 2026'!$G$2:$G$150)</f>
        <v>0</v>
      </c>
      <c r="H45" s="5">
        <f>SUMIF('Jul 2026'!$F$2:$F$150,'2026 Summary'!A45,'Jul 2026'!$G$2:$G$150)</f>
        <v>0</v>
      </c>
      <c r="I45" s="5">
        <f>SUMIF('Aug 2026'!$F$2:$F$150,'2026 Summary'!A45,'Aug 2026'!$G$2:$G$150)</f>
        <v>0</v>
      </c>
      <c r="J45" s="5">
        <f>SUMIF('Sep 2026'!$F$2:$F$150,'2026 Summary'!A45,'Sep 2026'!$G$2:$G$150)</f>
        <v>0</v>
      </c>
      <c r="K45" s="5">
        <f>SUMIF('Oct 2026'!$F$2:$F$150,'2026 Summary'!A45,'Oct 2026'!$G$2:$G$150)</f>
        <v>0</v>
      </c>
      <c r="L45" s="5">
        <f>SUMIF('Nov 2026'!$F$2:$F$150,'2026 Summary'!A45,'Nov 2026'!$G$2:$G$150)</f>
        <v>0</v>
      </c>
      <c r="M45" s="5">
        <f>SUMIF('Dec 2026'!$F$2:$F$150,'2026 Summary'!A45,'Dec 2026'!$G$2:$G$150)</f>
        <v>0</v>
      </c>
      <c r="AA45" s="14">
        <f>'Jan 2026'!F44</f>
        <v>0</v>
      </c>
    </row>
    <row r="46" spans="2:27" x14ac:dyDescent="0.25">
      <c r="B46" s="5">
        <f>SUMIF('Jan 2026'!$F$2:$F$150,'2026 Summary'!A46,'Jan 2026'!$G$2:$G$150)</f>
        <v>0</v>
      </c>
      <c r="C46" s="5">
        <f>SUMIF('Feb 2026'!$F$2:$F$150,'2026 Summary'!A46,'Feb 2026'!$G$2:$G$150)</f>
        <v>0</v>
      </c>
      <c r="D46" s="5">
        <f>SUMIF('Mar 2026'!$F$2:$F$150,'2026 Summary'!A46,'Mar 2026'!$G$2:$G$150)</f>
        <v>0</v>
      </c>
      <c r="E46" s="5">
        <f>SUMIF('Apr 2026'!$F$2:$F$150,'2026 Summary'!A46,'Apr 2026'!$G$2:$G$150)</f>
        <v>0</v>
      </c>
      <c r="F46" s="5">
        <f>SUMIF('May 2026'!$F$2:$F$150,'2026 Summary'!A46,'May 2026'!$G$2:$G$150)</f>
        <v>0</v>
      </c>
      <c r="G46" s="5">
        <f>SUMIF('Jun 2026'!$F$2:$F$150,'2026 Summary'!A46,'Jun 2026'!$G$2:$G$150)</f>
        <v>0</v>
      </c>
      <c r="H46" s="5">
        <f>SUMIF('Jul 2026'!$F$2:$F$150,'2026 Summary'!A46,'Jul 2026'!$G$2:$G$150)</f>
        <v>0</v>
      </c>
      <c r="I46" s="5">
        <f>SUMIF('Aug 2026'!$F$2:$F$150,'2026 Summary'!A46,'Aug 2026'!$G$2:$G$150)</f>
        <v>0</v>
      </c>
      <c r="J46" s="5">
        <f>SUMIF('Sep 2026'!$F$2:$F$150,'2026 Summary'!A46,'Sep 2026'!$G$2:$G$150)</f>
        <v>0</v>
      </c>
      <c r="K46" s="5">
        <f>SUMIF('Oct 2026'!$F$2:$F$150,'2026 Summary'!A46,'Oct 2026'!$G$2:$G$150)</f>
        <v>0</v>
      </c>
      <c r="L46" s="5">
        <f>SUMIF('Nov 2026'!$F$2:$F$150,'2026 Summary'!A46,'Nov 2026'!$G$2:$G$150)</f>
        <v>0</v>
      </c>
      <c r="M46" s="5">
        <f>SUMIF('Dec 2026'!$F$2:$F$150,'2026 Summary'!A46,'Dec 2026'!$G$2:$G$150)</f>
        <v>0</v>
      </c>
      <c r="AA46" s="14">
        <f>'Jan 2026'!F45</f>
        <v>0</v>
      </c>
    </row>
    <row r="47" spans="2:27" x14ac:dyDescent="0.25">
      <c r="B47" s="5">
        <f>SUMIF('Jan 2026'!$F$2:$F$150,'2026 Summary'!A47,'Jan 2026'!$G$2:$G$150)</f>
        <v>0</v>
      </c>
      <c r="C47" s="5">
        <f>SUMIF('Feb 2026'!$F$2:$F$150,'2026 Summary'!A47,'Feb 2026'!$G$2:$G$150)</f>
        <v>0</v>
      </c>
      <c r="D47" s="5">
        <f>SUMIF('Mar 2026'!$F$2:$F$150,'2026 Summary'!A47,'Mar 2026'!$G$2:$G$150)</f>
        <v>0</v>
      </c>
      <c r="E47" s="5">
        <f>SUMIF('Apr 2026'!$F$2:$F$150,'2026 Summary'!A47,'Apr 2026'!$G$2:$G$150)</f>
        <v>0</v>
      </c>
      <c r="F47" s="5">
        <f>SUMIF('May 2026'!$F$2:$F$150,'2026 Summary'!A47,'May 2026'!$G$2:$G$150)</f>
        <v>0</v>
      </c>
      <c r="G47" s="5">
        <f>SUMIF('Jun 2026'!$F$2:$F$150,'2026 Summary'!A47,'Jun 2026'!$G$2:$G$150)</f>
        <v>0</v>
      </c>
      <c r="H47" s="5">
        <f>SUMIF('Jul 2026'!$F$2:$F$150,'2026 Summary'!A47,'Jul 2026'!$G$2:$G$150)</f>
        <v>0</v>
      </c>
      <c r="I47" s="5">
        <f>SUMIF('Aug 2026'!$F$2:$F$150,'2026 Summary'!A47,'Aug 2026'!$G$2:$G$150)</f>
        <v>0</v>
      </c>
      <c r="J47" s="5">
        <f>SUMIF('Sep 2026'!$F$2:$F$150,'2026 Summary'!A47,'Sep 2026'!$G$2:$G$150)</f>
        <v>0</v>
      </c>
      <c r="K47" s="5">
        <f>SUMIF('Oct 2026'!$F$2:$F$150,'2026 Summary'!A47,'Oct 2026'!$G$2:$G$150)</f>
        <v>0</v>
      </c>
      <c r="L47" s="5">
        <f>SUMIF('Nov 2026'!$F$2:$F$150,'2026 Summary'!A47,'Nov 2026'!$G$2:$G$150)</f>
        <v>0</v>
      </c>
      <c r="M47" s="5">
        <f>SUMIF('Dec 2026'!$F$2:$F$150,'2026 Summary'!A47,'Dec 2026'!$G$2:$G$150)</f>
        <v>0</v>
      </c>
      <c r="AA47" s="14">
        <f>'Jan 2026'!F46</f>
        <v>0</v>
      </c>
    </row>
    <row r="48" spans="2:27" x14ac:dyDescent="0.25">
      <c r="B48" s="5">
        <f>SUMIF('Jan 2026'!$F$2:$F$150,'2026 Summary'!A48,'Jan 2026'!$G$2:$G$150)</f>
        <v>0</v>
      </c>
      <c r="C48" s="5">
        <f>SUMIF('Feb 2026'!$F$2:$F$150,'2026 Summary'!A48,'Feb 2026'!$G$2:$G$150)</f>
        <v>0</v>
      </c>
      <c r="D48" s="5">
        <f>SUMIF('Mar 2026'!$F$2:$F$150,'2026 Summary'!A48,'Mar 2026'!$G$2:$G$150)</f>
        <v>0</v>
      </c>
      <c r="E48" s="5">
        <f>SUMIF('Apr 2026'!$F$2:$F$150,'2026 Summary'!A48,'Apr 2026'!$G$2:$G$150)</f>
        <v>0</v>
      </c>
      <c r="F48" s="5">
        <f>SUMIF('May 2026'!$F$2:$F$150,'2026 Summary'!A48,'May 2026'!$G$2:$G$150)</f>
        <v>0</v>
      </c>
      <c r="G48" s="5">
        <f>SUMIF('Jun 2026'!$F$2:$F$150,'2026 Summary'!A48,'Jun 2026'!$G$2:$G$150)</f>
        <v>0</v>
      </c>
      <c r="H48" s="5">
        <f>SUMIF('Jul 2026'!$F$2:$F$150,'2026 Summary'!A48,'Jul 2026'!$G$2:$G$150)</f>
        <v>0</v>
      </c>
      <c r="I48" s="5">
        <f>SUMIF('Aug 2026'!$F$2:$F$150,'2026 Summary'!A48,'Aug 2026'!$G$2:$G$150)</f>
        <v>0</v>
      </c>
      <c r="J48" s="5">
        <f>SUMIF('Sep 2026'!$F$2:$F$150,'2026 Summary'!A48,'Sep 2026'!$G$2:$G$150)</f>
        <v>0</v>
      </c>
      <c r="K48" s="5">
        <f>SUMIF('Oct 2026'!$F$2:$F$150,'2026 Summary'!A48,'Oct 2026'!$G$2:$G$150)</f>
        <v>0</v>
      </c>
      <c r="L48" s="5">
        <f>SUMIF('Nov 2026'!$F$2:$F$150,'2026 Summary'!A48,'Nov 2026'!$G$2:$G$150)</f>
        <v>0</v>
      </c>
      <c r="M48" s="5">
        <f>SUMIF('Dec 2026'!$F$2:$F$150,'2026 Summary'!A48,'Dec 2026'!$G$2:$G$150)</f>
        <v>0</v>
      </c>
      <c r="AA48" s="14">
        <f>'Jan 2026'!F47</f>
        <v>0</v>
      </c>
    </row>
    <row r="49" spans="2:27" x14ac:dyDescent="0.25">
      <c r="B49" s="5">
        <f>SUMIF('Jan 2026'!$F$2:$F$150,'2026 Summary'!A49,'Jan 2026'!$G$2:$G$150)</f>
        <v>0</v>
      </c>
      <c r="C49" s="5">
        <f>SUMIF('Feb 2026'!$F$2:$F$150,'2026 Summary'!A49,'Feb 2026'!$G$2:$G$150)</f>
        <v>0</v>
      </c>
      <c r="D49" s="5">
        <f>SUMIF('Mar 2026'!$F$2:$F$150,'2026 Summary'!A49,'Mar 2026'!$G$2:$G$150)</f>
        <v>0</v>
      </c>
      <c r="E49" s="5">
        <f>SUMIF('Apr 2026'!$F$2:$F$150,'2026 Summary'!A49,'Apr 2026'!$G$2:$G$150)</f>
        <v>0</v>
      </c>
      <c r="F49" s="5">
        <f>SUMIF('May 2026'!$F$2:$F$150,'2026 Summary'!A49,'May 2026'!$G$2:$G$150)</f>
        <v>0</v>
      </c>
      <c r="G49" s="5">
        <f>SUMIF('Jun 2026'!$F$2:$F$150,'2026 Summary'!A49,'Jun 2026'!$G$2:$G$150)</f>
        <v>0</v>
      </c>
      <c r="H49" s="5">
        <f>SUMIF('Jul 2026'!$F$2:$F$150,'2026 Summary'!A49,'Jul 2026'!$G$2:$G$150)</f>
        <v>0</v>
      </c>
      <c r="I49" s="5">
        <f>SUMIF('Aug 2026'!$F$2:$F$150,'2026 Summary'!A49,'Aug 2026'!$G$2:$G$150)</f>
        <v>0</v>
      </c>
      <c r="J49" s="5">
        <f>SUMIF('Sep 2026'!$F$2:$F$150,'2026 Summary'!A49,'Sep 2026'!$G$2:$G$150)</f>
        <v>0</v>
      </c>
      <c r="K49" s="5">
        <f>SUMIF('Oct 2026'!$F$2:$F$150,'2026 Summary'!A49,'Oct 2026'!$G$2:$G$150)</f>
        <v>0</v>
      </c>
      <c r="L49" s="5">
        <f>SUMIF('Nov 2026'!$F$2:$F$150,'2026 Summary'!A49,'Nov 2026'!$G$2:$G$150)</f>
        <v>0</v>
      </c>
      <c r="M49" s="5">
        <f>SUMIF('Dec 2026'!$F$2:$F$150,'2026 Summary'!A49,'Dec 2026'!$G$2:$G$150)</f>
        <v>0</v>
      </c>
      <c r="AA49" s="14">
        <f>'Jan 2026'!F48</f>
        <v>0</v>
      </c>
    </row>
    <row r="50" spans="2:27" x14ac:dyDescent="0.25">
      <c r="B50" s="5">
        <f>SUMIF('Jan 2026'!$F$2:$F$150,'2026 Summary'!A50,'Jan 2026'!$G$2:$G$150)</f>
        <v>0</v>
      </c>
      <c r="C50" s="5">
        <f>SUMIF('Feb 2026'!$F$2:$F$150,'2026 Summary'!A50,'Feb 2026'!$G$2:$G$150)</f>
        <v>0</v>
      </c>
      <c r="D50" s="5">
        <f>SUMIF('Mar 2026'!$F$2:$F$150,'2026 Summary'!A50,'Mar 2026'!$G$2:$G$150)</f>
        <v>0</v>
      </c>
      <c r="E50" s="5">
        <f>SUMIF('Apr 2026'!$F$2:$F$150,'2026 Summary'!A50,'Apr 2026'!$G$2:$G$150)</f>
        <v>0</v>
      </c>
      <c r="F50" s="5">
        <f>SUMIF('May 2026'!$F$2:$F$150,'2026 Summary'!A50,'May 2026'!$G$2:$G$150)</f>
        <v>0</v>
      </c>
      <c r="G50" s="5">
        <f>SUMIF('Jun 2026'!$F$2:$F$150,'2026 Summary'!A50,'Jun 2026'!$G$2:$G$150)</f>
        <v>0</v>
      </c>
      <c r="H50" s="5">
        <f>SUMIF('Jul 2026'!$F$2:$F$150,'2026 Summary'!A50,'Jul 2026'!$G$2:$G$150)</f>
        <v>0</v>
      </c>
      <c r="I50" s="5">
        <f>SUMIF('Aug 2026'!$F$2:$F$150,'2026 Summary'!A50,'Aug 2026'!$G$2:$G$150)</f>
        <v>0</v>
      </c>
      <c r="J50" s="5">
        <f>SUMIF('Sep 2026'!$F$2:$F$150,'2026 Summary'!A50,'Sep 2026'!$G$2:$G$150)</f>
        <v>0</v>
      </c>
      <c r="K50" s="5">
        <f>SUMIF('Oct 2026'!$F$2:$F$150,'2026 Summary'!A50,'Oct 2026'!$G$2:$G$150)</f>
        <v>0</v>
      </c>
      <c r="L50" s="5">
        <f>SUMIF('Nov 2026'!$F$2:$F$150,'2026 Summary'!A50,'Nov 2026'!$G$2:$G$150)</f>
        <v>0</v>
      </c>
      <c r="M50" s="5">
        <f>SUMIF('Dec 2026'!$F$2:$F$150,'2026 Summary'!A50,'Dec 2026'!$G$2:$G$150)</f>
        <v>0</v>
      </c>
      <c r="AA50" s="14">
        <f>'Jan 2026'!F49</f>
        <v>0</v>
      </c>
    </row>
    <row r="51" spans="2:27" x14ac:dyDescent="0.25">
      <c r="B51" s="5">
        <f>SUMIF('Jan 2026'!$F$2:$F$150,'2026 Summary'!A51,'Jan 2026'!$G$2:$G$150)</f>
        <v>0</v>
      </c>
      <c r="C51" s="5">
        <f>SUMIF('Feb 2026'!$F$2:$F$150,'2026 Summary'!A51,'Feb 2026'!$G$2:$G$150)</f>
        <v>0</v>
      </c>
      <c r="D51" s="5">
        <f>SUMIF('Mar 2026'!$F$2:$F$150,'2026 Summary'!A51,'Mar 2026'!$G$2:$G$150)</f>
        <v>0</v>
      </c>
      <c r="E51" s="5">
        <f>SUMIF('Apr 2026'!$F$2:$F$150,'2026 Summary'!A51,'Apr 2026'!$G$2:$G$150)</f>
        <v>0</v>
      </c>
      <c r="F51" s="5">
        <f>SUMIF('May 2026'!$F$2:$F$150,'2026 Summary'!A51,'May 2026'!$G$2:$G$150)</f>
        <v>0</v>
      </c>
      <c r="G51" s="5">
        <f>SUMIF('Jun 2026'!$F$2:$F$150,'2026 Summary'!A51,'Jun 2026'!$G$2:$G$150)</f>
        <v>0</v>
      </c>
      <c r="H51" s="5">
        <f>SUMIF('Jul 2026'!$F$2:$F$150,'2026 Summary'!A51,'Jul 2026'!$G$2:$G$150)</f>
        <v>0</v>
      </c>
      <c r="I51" s="5">
        <f>SUMIF('Aug 2026'!$F$2:$F$150,'2026 Summary'!A51,'Aug 2026'!$G$2:$G$150)</f>
        <v>0</v>
      </c>
      <c r="J51" s="5">
        <f>SUMIF('Sep 2026'!$F$2:$F$150,'2026 Summary'!A51,'Sep 2026'!$G$2:$G$150)</f>
        <v>0</v>
      </c>
      <c r="K51" s="5">
        <f>SUMIF('Oct 2026'!$F$2:$F$150,'2026 Summary'!A51,'Oct 2026'!$G$2:$G$150)</f>
        <v>0</v>
      </c>
      <c r="L51" s="5">
        <f>SUMIF('Nov 2026'!$F$2:$F$150,'2026 Summary'!A51,'Nov 2026'!$G$2:$G$150)</f>
        <v>0</v>
      </c>
      <c r="M51" s="5">
        <f>SUMIF('Dec 2026'!$F$2:$F$150,'2026 Summary'!A51,'Dec 2026'!$G$2:$G$150)</f>
        <v>0</v>
      </c>
      <c r="AA51" s="14">
        <f>'Jan 2026'!F50</f>
        <v>0</v>
      </c>
    </row>
    <row r="52" spans="2:27" x14ac:dyDescent="0.25">
      <c r="B52" s="5">
        <f>SUMIF('Jan 2026'!$F$2:$F$150,'2026 Summary'!A52,'Jan 2026'!$G$2:$G$150)</f>
        <v>0</v>
      </c>
      <c r="C52" s="5">
        <f>SUMIF('Feb 2026'!$F$2:$F$150,'2026 Summary'!A52,'Feb 2026'!$G$2:$G$150)</f>
        <v>0</v>
      </c>
      <c r="D52" s="5">
        <f>SUMIF('Mar 2026'!$F$2:$F$150,'2026 Summary'!A52,'Mar 2026'!$G$2:$G$150)</f>
        <v>0</v>
      </c>
      <c r="E52" s="5">
        <f>SUMIF('Apr 2026'!$F$2:$F$150,'2026 Summary'!A52,'Apr 2026'!$G$2:$G$150)</f>
        <v>0</v>
      </c>
      <c r="F52" s="5">
        <f>SUMIF('May 2026'!$F$2:$F$150,'2026 Summary'!A52,'May 2026'!$G$2:$G$150)</f>
        <v>0</v>
      </c>
      <c r="G52" s="5">
        <f>SUMIF('Jun 2026'!$F$2:$F$150,'2026 Summary'!A52,'Jun 2026'!$G$2:$G$150)</f>
        <v>0</v>
      </c>
      <c r="H52" s="5">
        <f>SUMIF('Jul 2026'!$F$2:$F$150,'2026 Summary'!A52,'Jul 2026'!$G$2:$G$150)</f>
        <v>0</v>
      </c>
      <c r="I52" s="5">
        <f>SUMIF('Aug 2026'!$F$2:$F$150,'2026 Summary'!A52,'Aug 2026'!$G$2:$G$150)</f>
        <v>0</v>
      </c>
      <c r="J52" s="5">
        <f>SUMIF('Sep 2026'!$F$2:$F$150,'2026 Summary'!A52,'Sep 2026'!$G$2:$G$150)</f>
        <v>0</v>
      </c>
      <c r="K52" s="5">
        <f>SUMIF('Oct 2026'!$F$2:$F$150,'2026 Summary'!A52,'Oct 2026'!$G$2:$G$150)</f>
        <v>0</v>
      </c>
      <c r="L52" s="5">
        <f>SUMIF('Nov 2026'!$F$2:$F$150,'2026 Summary'!A52,'Nov 2026'!$G$2:$G$150)</f>
        <v>0</v>
      </c>
      <c r="M52" s="5">
        <f>SUMIF('Dec 2026'!$F$2:$F$150,'2026 Summary'!A52,'Dec 2026'!$G$2:$G$150)</f>
        <v>0</v>
      </c>
      <c r="AA52" s="14">
        <f>'Jan 2026'!F51</f>
        <v>0</v>
      </c>
    </row>
    <row r="53" spans="2:27" x14ac:dyDescent="0.25">
      <c r="B53" s="5">
        <f>SUMIF('Jan 2026'!$F$2:$F$150,'2026 Summary'!A53,'Jan 2026'!$G$2:$G$150)</f>
        <v>0</v>
      </c>
      <c r="C53" s="5">
        <f>SUMIF('Feb 2026'!$F$2:$F$150,'2026 Summary'!A53,'Feb 2026'!$G$2:$G$150)</f>
        <v>0</v>
      </c>
      <c r="D53" s="5">
        <f>SUMIF('Mar 2026'!$F$2:$F$150,'2026 Summary'!A53,'Mar 2026'!$G$2:$G$150)</f>
        <v>0</v>
      </c>
      <c r="E53" s="5">
        <f>SUMIF('Apr 2026'!$F$2:$F$150,'2026 Summary'!A53,'Apr 2026'!$G$2:$G$150)</f>
        <v>0</v>
      </c>
      <c r="F53" s="5">
        <f>SUMIF('May 2026'!$F$2:$F$150,'2026 Summary'!A53,'May 2026'!$G$2:$G$150)</f>
        <v>0</v>
      </c>
      <c r="G53" s="5">
        <f>SUMIF('Jun 2026'!$F$2:$F$150,'2026 Summary'!A53,'Jun 2026'!$G$2:$G$150)</f>
        <v>0</v>
      </c>
      <c r="H53" s="5">
        <f>SUMIF('Jul 2026'!$F$2:$F$150,'2026 Summary'!A53,'Jul 2026'!$G$2:$G$150)</f>
        <v>0</v>
      </c>
      <c r="I53" s="5">
        <f>SUMIF('Aug 2026'!$F$2:$F$150,'2026 Summary'!A53,'Aug 2026'!$G$2:$G$150)</f>
        <v>0</v>
      </c>
      <c r="J53" s="5">
        <f>SUMIF('Sep 2026'!$F$2:$F$150,'2026 Summary'!A53,'Sep 2026'!$G$2:$G$150)</f>
        <v>0</v>
      </c>
      <c r="K53" s="5">
        <f>SUMIF('Oct 2026'!$F$2:$F$150,'2026 Summary'!A53,'Oct 2026'!$G$2:$G$150)</f>
        <v>0</v>
      </c>
      <c r="L53" s="5">
        <f>SUMIF('Nov 2026'!$F$2:$F$150,'2026 Summary'!A53,'Nov 2026'!$G$2:$G$150)</f>
        <v>0</v>
      </c>
      <c r="M53" s="5">
        <f>SUMIF('Dec 2026'!$F$2:$F$150,'2026 Summary'!A53,'Dec 2026'!$G$2:$G$150)</f>
        <v>0</v>
      </c>
      <c r="AA53" s="14">
        <f>'Jan 2026'!F52</f>
        <v>0</v>
      </c>
    </row>
    <row r="54" spans="2:27" x14ac:dyDescent="0.25">
      <c r="B54" s="5">
        <f>SUMIF('Jan 2026'!$F$2:$F$150,'2026 Summary'!A54,'Jan 2026'!$G$2:$G$150)</f>
        <v>0</v>
      </c>
      <c r="C54" s="5">
        <f>SUMIF('Feb 2026'!$F$2:$F$150,'2026 Summary'!A54,'Feb 2026'!$G$2:$G$150)</f>
        <v>0</v>
      </c>
      <c r="D54" s="5">
        <f>SUMIF('Mar 2026'!$F$2:$F$150,'2026 Summary'!A54,'Mar 2026'!$G$2:$G$150)</f>
        <v>0</v>
      </c>
      <c r="E54" s="5">
        <f>SUMIF('Apr 2026'!$F$2:$F$150,'2026 Summary'!A54,'Apr 2026'!$G$2:$G$150)</f>
        <v>0</v>
      </c>
      <c r="F54" s="5">
        <f>SUMIF('May 2026'!$F$2:$F$150,'2026 Summary'!A54,'May 2026'!$G$2:$G$150)</f>
        <v>0</v>
      </c>
      <c r="G54" s="5">
        <f>SUMIF('Jun 2026'!$F$2:$F$150,'2026 Summary'!A54,'Jun 2026'!$G$2:$G$150)</f>
        <v>0</v>
      </c>
      <c r="H54" s="5">
        <f>SUMIF('Jul 2026'!$F$2:$F$150,'2026 Summary'!A54,'Jul 2026'!$G$2:$G$150)</f>
        <v>0</v>
      </c>
      <c r="I54" s="5">
        <f>SUMIF('Aug 2026'!$F$2:$F$150,'2026 Summary'!A54,'Aug 2026'!$G$2:$G$150)</f>
        <v>0</v>
      </c>
      <c r="J54" s="5">
        <f>SUMIF('Sep 2026'!$F$2:$F$150,'2026 Summary'!A54,'Sep 2026'!$G$2:$G$150)</f>
        <v>0</v>
      </c>
      <c r="K54" s="5">
        <f>SUMIF('Oct 2026'!$F$2:$F$150,'2026 Summary'!A54,'Oct 2026'!$G$2:$G$150)</f>
        <v>0</v>
      </c>
      <c r="L54" s="5">
        <f>SUMIF('Nov 2026'!$F$2:$F$150,'2026 Summary'!A54,'Nov 2026'!$G$2:$G$150)</f>
        <v>0</v>
      </c>
      <c r="M54" s="5">
        <f>SUMIF('Dec 2026'!$F$2:$F$150,'2026 Summary'!A54,'Dec 2026'!$G$2:$G$150)</f>
        <v>0</v>
      </c>
      <c r="AA54" s="14">
        <f>'Jan 2026'!F53</f>
        <v>0</v>
      </c>
    </row>
    <row r="55" spans="2:27" x14ac:dyDescent="0.25">
      <c r="B55" s="5">
        <f>SUMIF('Jan 2026'!$F$2:$F$150,'2026 Summary'!A55,'Jan 2026'!$G$2:$G$150)</f>
        <v>0</v>
      </c>
      <c r="C55" s="5">
        <f>SUMIF('Feb 2026'!$F$2:$F$150,'2026 Summary'!A55,'Feb 2026'!$G$2:$G$150)</f>
        <v>0</v>
      </c>
      <c r="D55" s="5">
        <f>SUMIF('Mar 2026'!$F$2:$F$150,'2026 Summary'!A55,'Mar 2026'!$G$2:$G$150)</f>
        <v>0</v>
      </c>
      <c r="E55" s="5">
        <f>SUMIF('Apr 2026'!$F$2:$F$150,'2026 Summary'!A55,'Apr 2026'!$G$2:$G$150)</f>
        <v>0</v>
      </c>
      <c r="F55" s="5">
        <f>SUMIF('May 2026'!$F$2:$F$150,'2026 Summary'!A55,'May 2026'!$G$2:$G$150)</f>
        <v>0</v>
      </c>
      <c r="G55" s="5">
        <f>SUMIF('Jun 2026'!$F$2:$F$150,'2026 Summary'!A55,'Jun 2026'!$G$2:$G$150)</f>
        <v>0</v>
      </c>
      <c r="H55" s="5">
        <f>SUMIF('Jul 2026'!$F$2:$F$150,'2026 Summary'!A55,'Jul 2026'!$G$2:$G$150)</f>
        <v>0</v>
      </c>
      <c r="I55" s="5">
        <f>SUMIF('Aug 2026'!$F$2:$F$150,'2026 Summary'!A55,'Aug 2026'!$G$2:$G$150)</f>
        <v>0</v>
      </c>
      <c r="J55" s="5">
        <f>SUMIF('Sep 2026'!$F$2:$F$150,'2026 Summary'!A55,'Sep 2026'!$G$2:$G$150)</f>
        <v>0</v>
      </c>
      <c r="K55" s="5">
        <f>SUMIF('Oct 2026'!$F$2:$F$150,'2026 Summary'!A55,'Oct 2026'!$G$2:$G$150)</f>
        <v>0</v>
      </c>
      <c r="L55" s="5">
        <f>SUMIF('Nov 2026'!$F$2:$F$150,'2026 Summary'!A55,'Nov 2026'!$G$2:$G$150)</f>
        <v>0</v>
      </c>
      <c r="M55" s="5">
        <f>SUMIF('Dec 2026'!$F$2:$F$150,'2026 Summary'!A55,'Dec 2026'!$G$2:$G$150)</f>
        <v>0</v>
      </c>
      <c r="AA55" s="14">
        <f>'Jan 2026'!F54</f>
        <v>0</v>
      </c>
    </row>
    <row r="56" spans="2:27" x14ac:dyDescent="0.25">
      <c r="B56" s="5">
        <f>SUMIF('Jan 2026'!$F$2:$F$150,'2026 Summary'!A56,'Jan 2026'!$G$2:$G$150)</f>
        <v>0</v>
      </c>
      <c r="C56" s="5">
        <f>SUMIF('Feb 2026'!$F$2:$F$150,'2026 Summary'!A56,'Feb 2026'!$G$2:$G$150)</f>
        <v>0</v>
      </c>
      <c r="D56" s="5">
        <f>SUMIF('Mar 2026'!$F$2:$F$150,'2026 Summary'!A56,'Mar 2026'!$G$2:$G$150)</f>
        <v>0</v>
      </c>
      <c r="E56" s="5">
        <f>SUMIF('Apr 2026'!$F$2:$F$150,'2026 Summary'!A56,'Apr 2026'!$G$2:$G$150)</f>
        <v>0</v>
      </c>
      <c r="F56" s="5">
        <f>SUMIF('May 2026'!$F$2:$F$150,'2026 Summary'!A56,'May 2026'!$G$2:$G$150)</f>
        <v>0</v>
      </c>
      <c r="G56" s="5">
        <f>SUMIF('Jun 2026'!$F$2:$F$150,'2026 Summary'!A56,'Jun 2026'!$G$2:$G$150)</f>
        <v>0</v>
      </c>
      <c r="H56" s="5">
        <f>SUMIF('Jul 2026'!$F$2:$F$150,'2026 Summary'!A56,'Jul 2026'!$G$2:$G$150)</f>
        <v>0</v>
      </c>
      <c r="I56" s="5">
        <f>SUMIF('Aug 2026'!$F$2:$F$150,'2026 Summary'!A56,'Aug 2026'!$G$2:$G$150)</f>
        <v>0</v>
      </c>
      <c r="J56" s="5">
        <f>SUMIF('Sep 2026'!$F$2:$F$150,'2026 Summary'!A56,'Sep 2026'!$G$2:$G$150)</f>
        <v>0</v>
      </c>
      <c r="K56" s="5">
        <f>SUMIF('Oct 2026'!$F$2:$F$150,'2026 Summary'!A56,'Oct 2026'!$G$2:$G$150)</f>
        <v>0</v>
      </c>
      <c r="L56" s="5">
        <f>SUMIF('Nov 2026'!$F$2:$F$150,'2026 Summary'!A56,'Nov 2026'!$G$2:$G$150)</f>
        <v>0</v>
      </c>
      <c r="M56" s="5">
        <f>SUMIF('Dec 2026'!$F$2:$F$150,'2026 Summary'!A56,'Dec 2026'!$G$2:$G$150)</f>
        <v>0</v>
      </c>
      <c r="AA56" s="14">
        <f>'Jan 2026'!F55</f>
        <v>0</v>
      </c>
    </row>
    <row r="57" spans="2:27" x14ac:dyDescent="0.25">
      <c r="B57" s="5">
        <f>SUMIF('Jan 2026'!$F$2:$F$150,'2026 Summary'!A57,'Jan 2026'!$G$2:$G$150)</f>
        <v>0</v>
      </c>
      <c r="C57" s="5">
        <f>SUMIF('Feb 2026'!$F$2:$F$150,'2026 Summary'!A57,'Feb 2026'!$G$2:$G$150)</f>
        <v>0</v>
      </c>
      <c r="D57" s="5">
        <f>SUMIF('Mar 2026'!$F$2:$F$150,'2026 Summary'!A57,'Mar 2026'!$G$2:$G$150)</f>
        <v>0</v>
      </c>
      <c r="E57" s="5">
        <f>SUMIF('Apr 2026'!$F$2:$F$150,'2026 Summary'!A57,'Apr 2026'!$G$2:$G$150)</f>
        <v>0</v>
      </c>
      <c r="F57" s="5">
        <f>SUMIF('May 2026'!$F$2:$F$150,'2026 Summary'!A57,'May 2026'!$G$2:$G$150)</f>
        <v>0</v>
      </c>
      <c r="G57" s="5">
        <f>SUMIF('Jun 2026'!$F$2:$F$150,'2026 Summary'!A57,'Jun 2026'!$G$2:$G$150)</f>
        <v>0</v>
      </c>
      <c r="H57" s="5">
        <f>SUMIF('Jul 2026'!$F$2:$F$150,'2026 Summary'!A57,'Jul 2026'!$G$2:$G$150)</f>
        <v>0</v>
      </c>
      <c r="I57" s="5">
        <f>SUMIF('Aug 2026'!$F$2:$F$150,'2026 Summary'!A57,'Aug 2026'!$G$2:$G$150)</f>
        <v>0</v>
      </c>
      <c r="J57" s="5">
        <f>SUMIF('Sep 2026'!$F$2:$F$150,'2026 Summary'!A57,'Sep 2026'!$G$2:$G$150)</f>
        <v>0</v>
      </c>
      <c r="K57" s="5">
        <f>SUMIF('Oct 2026'!$F$2:$F$150,'2026 Summary'!A57,'Oct 2026'!$G$2:$G$150)</f>
        <v>0</v>
      </c>
      <c r="L57" s="5">
        <f>SUMIF('Nov 2026'!$F$2:$F$150,'2026 Summary'!A57,'Nov 2026'!$G$2:$G$150)</f>
        <v>0</v>
      </c>
      <c r="M57" s="5">
        <f>SUMIF('Dec 2026'!$F$2:$F$150,'2026 Summary'!A57,'Dec 2026'!$G$2:$G$150)</f>
        <v>0</v>
      </c>
      <c r="AA57" s="14">
        <f>'Jan 2026'!F56</f>
        <v>0</v>
      </c>
    </row>
    <row r="58" spans="2:27" x14ac:dyDescent="0.25">
      <c r="B58" s="5">
        <f>SUMIF('Jan 2026'!$F$2:$F$150,'2026 Summary'!A58,'Jan 2026'!$G$2:$G$150)</f>
        <v>0</v>
      </c>
      <c r="C58" s="5">
        <f>SUMIF('Feb 2026'!$F$2:$F$150,'2026 Summary'!A58,'Feb 2026'!$G$2:$G$150)</f>
        <v>0</v>
      </c>
      <c r="D58" s="5">
        <f>SUMIF('Mar 2026'!$F$2:$F$150,'2026 Summary'!A58,'Mar 2026'!$G$2:$G$150)</f>
        <v>0</v>
      </c>
      <c r="E58" s="5">
        <f>SUMIF('Apr 2026'!$F$2:$F$150,'2026 Summary'!A58,'Apr 2026'!$G$2:$G$150)</f>
        <v>0</v>
      </c>
      <c r="F58" s="5">
        <f>SUMIF('May 2026'!$F$2:$F$150,'2026 Summary'!A58,'May 2026'!$G$2:$G$150)</f>
        <v>0</v>
      </c>
      <c r="G58" s="5">
        <f>SUMIF('Jun 2026'!$F$2:$F$150,'2026 Summary'!A58,'Jun 2026'!$G$2:$G$150)</f>
        <v>0</v>
      </c>
      <c r="H58" s="5">
        <f>SUMIF('Jul 2026'!$F$2:$F$150,'2026 Summary'!A58,'Jul 2026'!$G$2:$G$150)</f>
        <v>0</v>
      </c>
      <c r="I58" s="5">
        <f>SUMIF('Aug 2026'!$F$2:$F$150,'2026 Summary'!A58,'Aug 2026'!$G$2:$G$150)</f>
        <v>0</v>
      </c>
      <c r="J58" s="5">
        <f>SUMIF('Sep 2026'!$F$2:$F$150,'2026 Summary'!A58,'Sep 2026'!$G$2:$G$150)</f>
        <v>0</v>
      </c>
      <c r="K58" s="5">
        <f>SUMIF('Oct 2026'!$F$2:$F$150,'2026 Summary'!A58,'Oct 2026'!$G$2:$G$150)</f>
        <v>0</v>
      </c>
      <c r="L58" s="5">
        <f>SUMIF('Nov 2026'!$F$2:$F$150,'2026 Summary'!A58,'Nov 2026'!$G$2:$G$150)</f>
        <v>0</v>
      </c>
      <c r="M58" s="5">
        <f>SUMIF('Dec 2026'!$F$2:$F$150,'2026 Summary'!A58,'Dec 2026'!$G$2:$G$150)</f>
        <v>0</v>
      </c>
      <c r="AA58" s="14">
        <f>'Jan 2026'!F57</f>
        <v>0</v>
      </c>
    </row>
    <row r="59" spans="2:27" x14ac:dyDescent="0.25">
      <c r="B59" s="5">
        <f>SUMIF('Jan 2026'!$F$2:$F$150,'2026 Summary'!A59,'Jan 2026'!$G$2:$G$150)</f>
        <v>0</v>
      </c>
      <c r="C59" s="5">
        <f>SUMIF('Feb 2026'!$F$2:$F$150,'2026 Summary'!A59,'Feb 2026'!$G$2:$G$150)</f>
        <v>0</v>
      </c>
      <c r="D59" s="5">
        <f>SUMIF('Mar 2026'!$F$2:$F$150,'2026 Summary'!A59,'Mar 2026'!$G$2:$G$150)</f>
        <v>0</v>
      </c>
      <c r="E59" s="5">
        <f>SUMIF('Apr 2026'!$F$2:$F$150,'2026 Summary'!A59,'Apr 2026'!$G$2:$G$150)</f>
        <v>0</v>
      </c>
      <c r="F59" s="5">
        <f>SUMIF('May 2026'!$F$2:$F$150,'2026 Summary'!A59,'May 2026'!$G$2:$G$150)</f>
        <v>0</v>
      </c>
      <c r="G59" s="5">
        <f>SUMIF('Jun 2026'!$F$2:$F$150,'2026 Summary'!A59,'Jun 2026'!$G$2:$G$150)</f>
        <v>0</v>
      </c>
      <c r="H59" s="5">
        <f>SUMIF('Jul 2026'!$F$2:$F$150,'2026 Summary'!A59,'Jul 2026'!$G$2:$G$150)</f>
        <v>0</v>
      </c>
      <c r="I59" s="5">
        <f>SUMIF('Aug 2026'!$F$2:$F$150,'2026 Summary'!A59,'Aug 2026'!$G$2:$G$150)</f>
        <v>0</v>
      </c>
      <c r="J59" s="5">
        <f>SUMIF('Sep 2026'!$F$2:$F$150,'2026 Summary'!A59,'Sep 2026'!$G$2:$G$150)</f>
        <v>0</v>
      </c>
      <c r="K59" s="5">
        <f>SUMIF('Oct 2026'!$F$2:$F$150,'2026 Summary'!A59,'Oct 2026'!$G$2:$G$150)</f>
        <v>0</v>
      </c>
      <c r="L59" s="5">
        <f>SUMIF('Nov 2026'!$F$2:$F$150,'2026 Summary'!A59,'Nov 2026'!$G$2:$G$150)</f>
        <v>0</v>
      </c>
      <c r="M59" s="5">
        <f>SUMIF('Dec 2026'!$F$2:$F$150,'2026 Summary'!A59,'Dec 2026'!$G$2:$G$150)</f>
        <v>0</v>
      </c>
      <c r="AA59" s="14">
        <f>'Jan 2026'!F58</f>
        <v>0</v>
      </c>
    </row>
    <row r="60" spans="2:27" x14ac:dyDescent="0.25">
      <c r="B60" s="5">
        <f>SUMIF('Jan 2026'!$F$2:$F$150,'2026 Summary'!A60,'Jan 2026'!$G$2:$G$150)</f>
        <v>0</v>
      </c>
      <c r="C60" s="5">
        <f>SUMIF('Feb 2026'!$F$2:$F$150,'2026 Summary'!A60,'Feb 2026'!$G$2:$G$150)</f>
        <v>0</v>
      </c>
      <c r="D60" s="5">
        <f>SUMIF('Mar 2026'!$F$2:$F$150,'2026 Summary'!A60,'Mar 2026'!$G$2:$G$150)</f>
        <v>0</v>
      </c>
      <c r="E60" s="5">
        <f>SUMIF('Apr 2026'!$F$2:$F$150,'2026 Summary'!A60,'Apr 2026'!$G$2:$G$150)</f>
        <v>0</v>
      </c>
      <c r="F60" s="5">
        <f>SUMIF('May 2026'!$F$2:$F$150,'2026 Summary'!A60,'May 2026'!$G$2:$G$150)</f>
        <v>0</v>
      </c>
      <c r="G60" s="5">
        <f>SUMIF('Jun 2026'!$F$2:$F$150,'2026 Summary'!A60,'Jun 2026'!$G$2:$G$150)</f>
        <v>0</v>
      </c>
      <c r="H60" s="5">
        <f>SUMIF('Jul 2026'!$F$2:$F$150,'2026 Summary'!A60,'Jul 2026'!$G$2:$G$150)</f>
        <v>0</v>
      </c>
      <c r="I60" s="5">
        <f>SUMIF('Aug 2026'!$F$2:$F$150,'2026 Summary'!A60,'Aug 2026'!$G$2:$G$150)</f>
        <v>0</v>
      </c>
      <c r="J60" s="5">
        <f>SUMIF('Sep 2026'!$F$2:$F$150,'2026 Summary'!A60,'Sep 2026'!$G$2:$G$150)</f>
        <v>0</v>
      </c>
      <c r="K60" s="5">
        <f>SUMIF('Oct 2026'!$F$2:$F$150,'2026 Summary'!A60,'Oct 2026'!$G$2:$G$150)</f>
        <v>0</v>
      </c>
      <c r="L60" s="5">
        <f>SUMIF('Nov 2026'!$F$2:$F$150,'2026 Summary'!A60,'Nov 2026'!$G$2:$G$150)</f>
        <v>0</v>
      </c>
      <c r="M60" s="5">
        <f>SUMIF('Dec 2026'!$F$2:$F$150,'2026 Summary'!A60,'Dec 2026'!$G$2:$G$150)</f>
        <v>0</v>
      </c>
      <c r="S60" s="4"/>
      <c r="AA60" s="14">
        <f>'Jan 2026'!F59</f>
        <v>0</v>
      </c>
    </row>
    <row r="61" spans="2:27" x14ac:dyDescent="0.25">
      <c r="B61" s="5">
        <f>SUMIF('Jan 2026'!$F$2:$F$150,'2026 Summary'!A61,'Jan 2026'!$G$2:$G$150)</f>
        <v>0</v>
      </c>
      <c r="C61" s="5">
        <f>SUMIF('Feb 2026'!$F$2:$F$150,'2026 Summary'!A61,'Feb 2026'!$G$2:$G$150)</f>
        <v>0</v>
      </c>
      <c r="D61" s="5">
        <f>SUMIF('Mar 2026'!$F$2:$F$150,'2026 Summary'!A61,'Mar 2026'!$G$2:$G$150)</f>
        <v>0</v>
      </c>
      <c r="E61" s="5">
        <f>SUMIF('Apr 2026'!$F$2:$F$150,'2026 Summary'!A61,'Apr 2026'!$G$2:$G$150)</f>
        <v>0</v>
      </c>
      <c r="F61" s="5">
        <f>SUMIF('May 2026'!$F$2:$F$150,'2026 Summary'!A61,'May 2026'!$G$2:$G$150)</f>
        <v>0</v>
      </c>
      <c r="G61" s="5">
        <f>SUMIF('Jun 2026'!$F$2:$F$150,'2026 Summary'!A61,'Jun 2026'!$G$2:$G$150)</f>
        <v>0</v>
      </c>
      <c r="H61" s="5">
        <f>SUMIF('Jul 2026'!$F$2:$F$150,'2026 Summary'!A61,'Jul 2026'!$G$2:$G$150)</f>
        <v>0</v>
      </c>
      <c r="I61" s="5">
        <f>SUMIF('Aug 2026'!$F$2:$F$150,'2026 Summary'!A61,'Aug 2026'!$G$2:$G$150)</f>
        <v>0</v>
      </c>
      <c r="J61" s="5">
        <f>SUMIF('Sep 2026'!$F$2:$F$150,'2026 Summary'!A61,'Sep 2026'!$G$2:$G$150)</f>
        <v>0</v>
      </c>
      <c r="K61" s="5">
        <f>SUMIF('Oct 2026'!$F$2:$F$150,'2026 Summary'!A61,'Oct 2026'!$G$2:$G$150)</f>
        <v>0</v>
      </c>
      <c r="L61" s="5">
        <f>SUMIF('Nov 2026'!$F$2:$F$150,'2026 Summary'!A61,'Nov 2026'!$G$2:$G$150)</f>
        <v>0</v>
      </c>
      <c r="M61" s="5">
        <f>SUMIF('Dec 2026'!$F$2:$F$150,'2026 Summary'!A61,'Dec 2026'!$G$2:$G$150)</f>
        <v>0</v>
      </c>
      <c r="S61" s="4"/>
      <c r="AA61" s="14">
        <f>'Jan 2026'!F60</f>
        <v>0</v>
      </c>
    </row>
    <row r="62" spans="2:27" x14ac:dyDescent="0.25">
      <c r="B62" s="5">
        <f>SUMIF('Jan 2026'!$F$2:$F$150,'2026 Summary'!A62,'Jan 2026'!$G$2:$G$150)</f>
        <v>0</v>
      </c>
      <c r="C62" s="5">
        <f>SUMIF('Feb 2026'!$F$2:$F$150,'2026 Summary'!A62,'Feb 2026'!$G$2:$G$150)</f>
        <v>0</v>
      </c>
      <c r="D62" s="5">
        <f>SUMIF('Mar 2026'!$F$2:$F$150,'2026 Summary'!A62,'Mar 2026'!$G$2:$G$150)</f>
        <v>0</v>
      </c>
      <c r="E62" s="5">
        <f>SUMIF('Apr 2026'!$F$2:$F$150,'2026 Summary'!A62,'Apr 2026'!$G$2:$G$150)</f>
        <v>0</v>
      </c>
      <c r="F62" s="5">
        <f>SUMIF('May 2026'!$F$2:$F$150,'2026 Summary'!A62,'May 2026'!$G$2:$G$150)</f>
        <v>0</v>
      </c>
      <c r="G62" s="5">
        <f>SUMIF('Jun 2026'!$F$2:$F$150,'2026 Summary'!A62,'Jun 2026'!$G$2:$G$150)</f>
        <v>0</v>
      </c>
      <c r="H62" s="5">
        <f>SUMIF('Jul 2026'!$F$2:$F$150,'2026 Summary'!A62,'Jul 2026'!$G$2:$G$150)</f>
        <v>0</v>
      </c>
      <c r="I62" s="5">
        <f>SUMIF('Aug 2026'!$F$2:$F$150,'2026 Summary'!A62,'Aug 2026'!$G$2:$G$150)</f>
        <v>0</v>
      </c>
      <c r="J62" s="5">
        <f>SUMIF('Sep 2026'!$F$2:$F$150,'2026 Summary'!A62,'Sep 2026'!$G$2:$G$150)</f>
        <v>0</v>
      </c>
      <c r="K62" s="5">
        <f>SUMIF('Oct 2026'!$F$2:$F$150,'2026 Summary'!A62,'Oct 2026'!$G$2:$G$150)</f>
        <v>0</v>
      </c>
      <c r="L62" s="5">
        <f>SUMIF('Nov 2026'!$F$2:$F$150,'2026 Summary'!A62,'Nov 2026'!$G$2:$G$150)</f>
        <v>0</v>
      </c>
      <c r="M62" s="5">
        <f>SUMIF('Dec 2026'!$F$2:$F$150,'2026 Summary'!A62,'Dec 2026'!$G$2:$G$150)</f>
        <v>0</v>
      </c>
      <c r="S62" s="4"/>
      <c r="AA62" s="14">
        <f>'Jan 2026'!F61</f>
        <v>0</v>
      </c>
    </row>
    <row r="63" spans="2:27" x14ac:dyDescent="0.25">
      <c r="B63" s="5">
        <f>SUMIF('Jan 2026'!$F$2:$F$150,'2026 Summary'!A63,'Jan 2026'!$G$2:$G$150)</f>
        <v>0</v>
      </c>
      <c r="C63" s="5">
        <f>SUMIF('Feb 2026'!$F$2:$F$150,'2026 Summary'!A63,'Feb 2026'!$G$2:$G$150)</f>
        <v>0</v>
      </c>
      <c r="D63" s="5">
        <f>SUMIF('Mar 2026'!$F$2:$F$150,'2026 Summary'!A63,'Mar 2026'!$G$2:$G$150)</f>
        <v>0</v>
      </c>
      <c r="E63" s="5">
        <f>SUMIF('Apr 2026'!$F$2:$F$150,'2026 Summary'!A63,'Apr 2026'!$G$2:$G$150)</f>
        <v>0</v>
      </c>
      <c r="F63" s="5">
        <f>SUMIF('May 2026'!$F$2:$F$150,'2026 Summary'!A63,'May 2026'!$G$2:$G$150)</f>
        <v>0</v>
      </c>
      <c r="G63" s="5">
        <f>SUMIF('Jun 2026'!$F$2:$F$150,'2026 Summary'!A63,'Jun 2026'!$G$2:$G$150)</f>
        <v>0</v>
      </c>
      <c r="H63" s="5">
        <f>SUMIF('Jul 2026'!$F$2:$F$150,'2026 Summary'!A63,'Jul 2026'!$G$2:$G$150)</f>
        <v>0</v>
      </c>
      <c r="I63" s="5">
        <f>SUMIF('Aug 2026'!$F$2:$F$150,'2026 Summary'!A63,'Aug 2026'!$G$2:$G$150)</f>
        <v>0</v>
      </c>
      <c r="J63" s="5">
        <f>SUMIF('Sep 2026'!$F$2:$F$150,'2026 Summary'!A63,'Sep 2026'!$G$2:$G$150)</f>
        <v>0</v>
      </c>
      <c r="K63" s="5">
        <f>SUMIF('Oct 2026'!$F$2:$F$150,'2026 Summary'!A63,'Oct 2026'!$G$2:$G$150)</f>
        <v>0</v>
      </c>
      <c r="L63" s="5">
        <f>SUMIF('Nov 2026'!$F$2:$F$150,'2026 Summary'!A63,'Nov 2026'!$G$2:$G$150)</f>
        <v>0</v>
      </c>
      <c r="M63" s="5">
        <f>SUMIF('Dec 2026'!$F$2:$F$150,'2026 Summary'!A63,'Dec 2026'!$G$2:$G$150)</f>
        <v>0</v>
      </c>
      <c r="AA63" s="14">
        <f>'Jan 2026'!F62</f>
        <v>0</v>
      </c>
    </row>
    <row r="64" spans="2:27" x14ac:dyDescent="0.25">
      <c r="B64" s="5">
        <f>SUMIF('Jan 2026'!$F$2:$F$150,'2026 Summary'!A64,'Jan 2026'!$G$2:$G$150)</f>
        <v>0</v>
      </c>
      <c r="C64" s="5">
        <f>SUMIF('Feb 2026'!$F$2:$F$150,'2026 Summary'!A64,'Feb 2026'!$G$2:$G$150)</f>
        <v>0</v>
      </c>
      <c r="D64" s="5">
        <f>SUMIF('Mar 2026'!$F$2:$F$150,'2026 Summary'!A64,'Mar 2026'!$G$2:$G$150)</f>
        <v>0</v>
      </c>
      <c r="E64" s="5">
        <f>SUMIF('Apr 2026'!$F$2:$F$150,'2026 Summary'!A64,'Apr 2026'!$G$2:$G$150)</f>
        <v>0</v>
      </c>
      <c r="F64" s="5">
        <f>SUMIF('May 2026'!$F$2:$F$150,'2026 Summary'!A64,'May 2026'!$G$2:$G$150)</f>
        <v>0</v>
      </c>
      <c r="G64" s="5">
        <f>SUMIF('Jun 2026'!$F$2:$F$150,'2026 Summary'!A64,'Jun 2026'!$G$2:$G$150)</f>
        <v>0</v>
      </c>
      <c r="H64" s="5">
        <f>SUMIF('Jul 2026'!$F$2:$F$150,'2026 Summary'!A64,'Jul 2026'!$G$2:$G$150)</f>
        <v>0</v>
      </c>
      <c r="I64" s="5">
        <f>SUMIF('Aug 2026'!$F$2:$F$150,'2026 Summary'!A64,'Aug 2026'!$G$2:$G$150)</f>
        <v>0</v>
      </c>
      <c r="J64" s="5">
        <f>SUMIF('Sep 2026'!$F$2:$F$150,'2026 Summary'!A64,'Sep 2026'!$G$2:$G$150)</f>
        <v>0</v>
      </c>
      <c r="K64" s="5">
        <f>SUMIF('Oct 2026'!$F$2:$F$150,'2026 Summary'!A64,'Oct 2026'!$G$2:$G$150)</f>
        <v>0</v>
      </c>
      <c r="L64" s="5">
        <f>SUMIF('Nov 2026'!$F$2:$F$150,'2026 Summary'!A64,'Nov 2026'!$G$2:$G$150)</f>
        <v>0</v>
      </c>
      <c r="M64" s="5">
        <f>SUMIF('Dec 2026'!$F$2:$F$150,'2026 Summary'!A64,'Dec 2026'!$G$2:$G$150)</f>
        <v>0</v>
      </c>
      <c r="AA64" s="14">
        <f>'Jan 2026'!F63</f>
        <v>0</v>
      </c>
    </row>
    <row r="65" spans="2:27" x14ac:dyDescent="0.25">
      <c r="B65" s="5">
        <f>SUMIF('Jan 2026'!$F$2:$F$150,'2026 Summary'!A65,'Jan 2026'!$G$2:$G$150)</f>
        <v>0</v>
      </c>
      <c r="C65" s="5">
        <f>SUMIF('Feb 2026'!$F$2:$F$150,'2026 Summary'!A65,'Feb 2026'!$G$2:$G$150)</f>
        <v>0</v>
      </c>
      <c r="D65" s="5">
        <f>SUMIF('Mar 2026'!$F$2:$F$150,'2026 Summary'!A65,'Mar 2026'!$G$2:$G$150)</f>
        <v>0</v>
      </c>
      <c r="E65" s="5">
        <f>SUMIF('Apr 2026'!$F$2:$F$150,'2026 Summary'!A65,'Apr 2026'!$G$2:$G$150)</f>
        <v>0</v>
      </c>
      <c r="F65" s="5">
        <f>SUMIF('May 2026'!$F$2:$F$150,'2026 Summary'!A65,'May 2026'!$G$2:$G$150)</f>
        <v>0</v>
      </c>
      <c r="G65" s="5">
        <f>SUMIF('Jun 2026'!$F$2:$F$150,'2026 Summary'!A65,'Jun 2026'!$G$2:$G$150)</f>
        <v>0</v>
      </c>
      <c r="H65" s="5">
        <f>SUMIF('Jul 2026'!$F$2:$F$150,'2026 Summary'!A65,'Jul 2026'!$G$2:$G$150)</f>
        <v>0</v>
      </c>
      <c r="I65" s="5">
        <f>SUMIF('Aug 2026'!$F$2:$F$150,'2026 Summary'!A65,'Aug 2026'!$G$2:$G$150)</f>
        <v>0</v>
      </c>
      <c r="J65" s="5">
        <f>SUMIF('Sep 2026'!$F$2:$F$150,'2026 Summary'!A65,'Sep 2026'!$G$2:$G$150)</f>
        <v>0</v>
      </c>
      <c r="K65" s="5">
        <f>SUMIF('Oct 2026'!$F$2:$F$150,'2026 Summary'!A65,'Oct 2026'!$G$2:$G$150)</f>
        <v>0</v>
      </c>
      <c r="L65" s="5">
        <f>SUMIF('Nov 2026'!$F$2:$F$150,'2026 Summary'!A65,'Nov 2026'!$G$2:$G$150)</f>
        <v>0</v>
      </c>
      <c r="M65" s="5">
        <f>SUMIF('Dec 2026'!$F$2:$F$150,'2026 Summary'!A65,'Dec 2026'!$G$2:$G$150)</f>
        <v>0</v>
      </c>
      <c r="AA65" s="14">
        <f>'Jan 2026'!F64</f>
        <v>0</v>
      </c>
    </row>
    <row r="66" spans="2:27" x14ac:dyDescent="0.25">
      <c r="B66" s="5">
        <f>SUMIF('Jan 2026'!$F$2:$F$150,'2026 Summary'!A66,'Jan 2026'!$G$2:$G$150)</f>
        <v>0</v>
      </c>
      <c r="C66" s="5">
        <f>SUMIF('Feb 2026'!$F$2:$F$150,'2026 Summary'!A66,'Feb 2026'!$G$2:$G$150)</f>
        <v>0</v>
      </c>
      <c r="D66" s="5">
        <f>SUMIF('Mar 2026'!$F$2:$F$150,'2026 Summary'!A66,'Mar 2026'!$G$2:$G$150)</f>
        <v>0</v>
      </c>
      <c r="E66" s="5">
        <f>SUMIF('Apr 2026'!$F$2:$F$150,'2026 Summary'!A66,'Apr 2026'!$G$2:$G$150)</f>
        <v>0</v>
      </c>
      <c r="F66" s="5">
        <f>SUMIF('May 2026'!$F$2:$F$150,'2026 Summary'!A66,'May 2026'!$G$2:$G$150)</f>
        <v>0</v>
      </c>
      <c r="G66" s="5">
        <f>SUMIF('Jun 2026'!$F$2:$F$150,'2026 Summary'!A66,'Jun 2026'!$G$2:$G$150)</f>
        <v>0</v>
      </c>
      <c r="H66" s="5">
        <f>SUMIF('Jul 2026'!$F$2:$F$150,'2026 Summary'!A66,'Jul 2026'!$G$2:$G$150)</f>
        <v>0</v>
      </c>
      <c r="I66" s="5">
        <f>SUMIF('Aug 2026'!$F$2:$F$150,'2026 Summary'!A66,'Aug 2026'!$G$2:$G$150)</f>
        <v>0</v>
      </c>
      <c r="J66" s="5">
        <f>SUMIF('Sep 2026'!$F$2:$F$150,'2026 Summary'!A66,'Sep 2026'!$G$2:$G$150)</f>
        <v>0</v>
      </c>
      <c r="K66" s="5">
        <f>SUMIF('Oct 2026'!$F$2:$F$150,'2026 Summary'!A66,'Oct 2026'!$G$2:$G$150)</f>
        <v>0</v>
      </c>
      <c r="L66" s="5">
        <f>SUMIF('Nov 2026'!$F$2:$F$150,'2026 Summary'!A66,'Nov 2026'!$G$2:$G$150)</f>
        <v>0</v>
      </c>
      <c r="M66" s="5">
        <f>SUMIF('Dec 2026'!$F$2:$F$150,'2026 Summary'!A66,'Dec 2026'!$G$2:$G$150)</f>
        <v>0</v>
      </c>
      <c r="AA66" s="14">
        <f>'Jan 2026'!F65</f>
        <v>0</v>
      </c>
    </row>
    <row r="67" spans="2:27" x14ac:dyDescent="0.25">
      <c r="B67" s="5">
        <f>SUMIF('Jan 2026'!$F$2:$F$150,'2026 Summary'!A67,'Jan 2026'!$G$2:$G$150)</f>
        <v>0</v>
      </c>
      <c r="C67" s="5">
        <f>SUMIF('Feb 2026'!$F$2:$F$150,'2026 Summary'!A67,'Feb 2026'!$G$2:$G$150)</f>
        <v>0</v>
      </c>
      <c r="D67" s="5">
        <f>SUMIF('Mar 2026'!$F$2:$F$150,'2026 Summary'!A67,'Mar 2026'!$G$2:$G$150)</f>
        <v>0</v>
      </c>
      <c r="E67" s="5">
        <f>SUMIF('Apr 2026'!$F$2:$F$150,'2026 Summary'!A67,'Apr 2026'!$G$2:$G$150)</f>
        <v>0</v>
      </c>
      <c r="F67" s="5">
        <f>SUMIF('May 2026'!$F$2:$F$150,'2026 Summary'!A67,'May 2026'!$G$2:$G$150)</f>
        <v>0</v>
      </c>
      <c r="G67" s="5">
        <f>SUMIF('Jun 2026'!$F$2:$F$150,'2026 Summary'!A67,'Jun 2026'!$G$2:$G$150)</f>
        <v>0</v>
      </c>
      <c r="H67" s="5">
        <f>SUMIF('Jul 2026'!$F$2:$F$150,'2026 Summary'!A67,'Jul 2026'!$G$2:$G$150)</f>
        <v>0</v>
      </c>
      <c r="I67" s="5">
        <f>SUMIF('Aug 2026'!$F$2:$F$150,'2026 Summary'!A67,'Aug 2026'!$G$2:$G$150)</f>
        <v>0</v>
      </c>
      <c r="J67" s="5">
        <f>SUMIF('Sep 2026'!$F$2:$F$150,'2026 Summary'!A67,'Sep 2026'!$G$2:$G$150)</f>
        <v>0</v>
      </c>
      <c r="K67" s="5">
        <f>SUMIF('Oct 2026'!$F$2:$F$150,'2026 Summary'!A67,'Oct 2026'!$G$2:$G$150)</f>
        <v>0</v>
      </c>
      <c r="L67" s="5">
        <f>SUMIF('Nov 2026'!$F$2:$F$150,'2026 Summary'!A67,'Nov 2026'!$G$2:$G$150)</f>
        <v>0</v>
      </c>
      <c r="M67" s="5">
        <f>SUMIF('Dec 2026'!$F$2:$F$150,'2026 Summary'!A67,'Dec 2026'!$G$2:$G$150)</f>
        <v>0</v>
      </c>
      <c r="AA67" s="14">
        <f>'Jan 2026'!F66</f>
        <v>0</v>
      </c>
    </row>
    <row r="68" spans="2:27" x14ac:dyDescent="0.25">
      <c r="B68" s="5">
        <f>SUMIF('Jan 2026'!$F$2:$F$150,'2026 Summary'!A68,'Jan 2026'!$G$2:$G$150)</f>
        <v>0</v>
      </c>
      <c r="C68" s="5">
        <f>SUMIF('Feb 2026'!$F$2:$F$150,'2026 Summary'!A68,'Feb 2026'!$G$2:$G$150)</f>
        <v>0</v>
      </c>
      <c r="D68" s="5">
        <f>SUMIF('Mar 2026'!$F$2:$F$150,'2026 Summary'!A68,'Mar 2026'!$G$2:$G$150)</f>
        <v>0</v>
      </c>
      <c r="E68" s="5">
        <f>SUMIF('Apr 2026'!$F$2:$F$150,'2026 Summary'!A68,'Apr 2026'!$G$2:$G$150)</f>
        <v>0</v>
      </c>
      <c r="F68" s="5">
        <f>SUMIF('May 2026'!$F$2:$F$150,'2026 Summary'!A68,'May 2026'!$G$2:$G$150)</f>
        <v>0</v>
      </c>
      <c r="G68" s="5">
        <f>SUMIF('Jun 2026'!$F$2:$F$150,'2026 Summary'!A68,'Jun 2026'!$G$2:$G$150)</f>
        <v>0</v>
      </c>
      <c r="H68" s="5">
        <f>SUMIF('Jul 2026'!$F$2:$F$150,'2026 Summary'!A68,'Jul 2026'!$G$2:$G$150)</f>
        <v>0</v>
      </c>
      <c r="I68" s="5">
        <f>SUMIF('Aug 2026'!$F$2:$F$150,'2026 Summary'!A68,'Aug 2026'!$G$2:$G$150)</f>
        <v>0</v>
      </c>
      <c r="J68" s="5">
        <f>SUMIF('Sep 2026'!$F$2:$F$150,'2026 Summary'!A68,'Sep 2026'!$G$2:$G$150)</f>
        <v>0</v>
      </c>
      <c r="K68" s="5">
        <f>SUMIF('Oct 2026'!$F$2:$F$150,'2026 Summary'!A68,'Oct 2026'!$G$2:$G$150)</f>
        <v>0</v>
      </c>
      <c r="L68" s="5">
        <f>SUMIF('Nov 2026'!$F$2:$F$150,'2026 Summary'!A68,'Nov 2026'!$G$2:$G$150)</f>
        <v>0</v>
      </c>
      <c r="M68" s="5">
        <f>SUMIF('Dec 2026'!$F$2:$F$150,'2026 Summary'!A68,'Dec 2026'!$G$2:$G$150)</f>
        <v>0</v>
      </c>
      <c r="AA68" s="14">
        <f>'Jan 2026'!F67</f>
        <v>0</v>
      </c>
    </row>
    <row r="69" spans="2:27" x14ac:dyDescent="0.25">
      <c r="B69" s="5">
        <f>SUMIF('Jan 2026'!$F$2:$F$150,'2026 Summary'!A69,'Jan 2026'!$G$2:$G$150)</f>
        <v>0</v>
      </c>
      <c r="C69" s="5">
        <f>SUMIF('Feb 2026'!$F$2:$F$150,'2026 Summary'!A69,'Feb 2026'!$G$2:$G$150)</f>
        <v>0</v>
      </c>
      <c r="D69" s="5">
        <f>SUMIF('Mar 2026'!$F$2:$F$150,'2026 Summary'!A69,'Mar 2026'!$G$2:$G$150)</f>
        <v>0</v>
      </c>
      <c r="E69" s="5">
        <f>SUMIF('Apr 2026'!$F$2:$F$150,'2026 Summary'!A69,'Apr 2026'!$G$2:$G$150)</f>
        <v>0</v>
      </c>
      <c r="F69" s="5">
        <f>SUMIF('May 2026'!$F$2:$F$150,'2026 Summary'!A69,'May 2026'!$G$2:$G$150)</f>
        <v>0</v>
      </c>
      <c r="G69" s="5">
        <f>SUMIF('Jun 2026'!$F$2:$F$150,'2026 Summary'!A69,'Jun 2026'!$G$2:$G$150)</f>
        <v>0</v>
      </c>
      <c r="H69" s="5">
        <f>SUMIF('Jul 2026'!$F$2:$F$150,'2026 Summary'!A69,'Jul 2026'!$G$2:$G$150)</f>
        <v>0</v>
      </c>
      <c r="I69" s="5">
        <f>SUMIF('Aug 2026'!$F$2:$F$150,'2026 Summary'!A69,'Aug 2026'!$G$2:$G$150)</f>
        <v>0</v>
      </c>
      <c r="J69" s="5">
        <f>SUMIF('Sep 2026'!$F$2:$F$150,'2026 Summary'!A69,'Sep 2026'!$G$2:$G$150)</f>
        <v>0</v>
      </c>
      <c r="K69" s="5">
        <f>SUMIF('Oct 2026'!$F$2:$F$150,'2026 Summary'!A69,'Oct 2026'!$G$2:$G$150)</f>
        <v>0</v>
      </c>
      <c r="L69" s="5">
        <f>SUMIF('Nov 2026'!$F$2:$F$150,'2026 Summary'!A69,'Nov 2026'!$G$2:$G$150)</f>
        <v>0</v>
      </c>
      <c r="M69" s="5">
        <f>SUMIF('Dec 2026'!$F$2:$F$150,'2026 Summary'!A69,'Dec 2026'!$G$2:$G$150)</f>
        <v>0</v>
      </c>
      <c r="AA69" s="14">
        <f>'Jan 2026'!F68</f>
        <v>0</v>
      </c>
    </row>
    <row r="70" spans="2:27" x14ac:dyDescent="0.25">
      <c r="B70" s="5">
        <f>SUMIF('Jan 2026'!$F$2:$F$150,'2026 Summary'!A70,'Jan 2026'!$G$2:$G$150)</f>
        <v>0</v>
      </c>
      <c r="C70" s="5">
        <f>SUMIF('Feb 2026'!$F$2:$F$150,'2026 Summary'!A70,'Feb 2026'!$G$2:$G$150)</f>
        <v>0</v>
      </c>
      <c r="D70" s="5">
        <f>SUMIF('Mar 2026'!$F$2:$F$150,'2026 Summary'!A70,'Mar 2026'!$G$2:$G$150)</f>
        <v>0</v>
      </c>
      <c r="E70" s="5">
        <f>SUMIF('Apr 2026'!$F$2:$F$150,'2026 Summary'!A70,'Apr 2026'!$G$2:$G$150)</f>
        <v>0</v>
      </c>
      <c r="F70" s="5">
        <f>SUMIF('May 2026'!$F$2:$F$150,'2026 Summary'!A70,'May 2026'!$G$2:$G$150)</f>
        <v>0</v>
      </c>
      <c r="G70" s="5">
        <f>SUMIF('Jun 2026'!$F$2:$F$150,'2026 Summary'!A70,'Jun 2026'!$G$2:$G$150)</f>
        <v>0</v>
      </c>
      <c r="H70" s="5">
        <f>SUMIF('Jul 2026'!$F$2:$F$150,'2026 Summary'!A70,'Jul 2026'!$G$2:$G$150)</f>
        <v>0</v>
      </c>
      <c r="I70" s="5">
        <f>SUMIF('Aug 2026'!$F$2:$F$150,'2026 Summary'!A70,'Aug 2026'!$G$2:$G$150)</f>
        <v>0</v>
      </c>
      <c r="J70" s="5">
        <f>SUMIF('Sep 2026'!$F$2:$F$150,'2026 Summary'!A70,'Sep 2026'!$G$2:$G$150)</f>
        <v>0</v>
      </c>
      <c r="K70" s="5">
        <f>SUMIF('Oct 2026'!$F$2:$F$150,'2026 Summary'!A70,'Oct 2026'!$G$2:$G$150)</f>
        <v>0</v>
      </c>
      <c r="L70" s="5">
        <f>SUMIF('Nov 2026'!$F$2:$F$150,'2026 Summary'!A70,'Nov 2026'!$G$2:$G$150)</f>
        <v>0</v>
      </c>
      <c r="M70" s="5">
        <f>SUMIF('Dec 2026'!$F$2:$F$150,'2026 Summary'!A70,'Dec 2026'!$G$2:$G$150)</f>
        <v>0</v>
      </c>
      <c r="AA70" s="14">
        <f>'Jan 2026'!F69</f>
        <v>0</v>
      </c>
    </row>
    <row r="71" spans="2:27" x14ac:dyDescent="0.25">
      <c r="B71" s="5">
        <f>SUMIF('Jan 2026'!$F$2:$F$150,'2026 Summary'!A71,'Jan 2026'!$G$2:$G$150)</f>
        <v>0</v>
      </c>
      <c r="C71" s="5">
        <f>SUMIF('Feb 2026'!$F$2:$F$150,'2026 Summary'!A71,'Feb 2026'!$G$2:$G$150)</f>
        <v>0</v>
      </c>
      <c r="D71" s="5">
        <f>SUMIF('Mar 2026'!$F$2:$F$150,'2026 Summary'!A71,'Mar 2026'!$G$2:$G$150)</f>
        <v>0</v>
      </c>
      <c r="E71" s="5">
        <f>SUMIF('Apr 2026'!$F$2:$F$150,'2026 Summary'!A71,'Apr 2026'!$G$2:$G$150)</f>
        <v>0</v>
      </c>
      <c r="F71" s="5">
        <f>SUMIF('May 2026'!$F$2:$F$150,'2026 Summary'!A71,'May 2026'!$G$2:$G$150)</f>
        <v>0</v>
      </c>
      <c r="G71" s="5">
        <f>SUMIF('Jun 2026'!$F$2:$F$150,'2026 Summary'!A71,'Jun 2026'!$G$2:$G$150)</f>
        <v>0</v>
      </c>
      <c r="H71" s="5">
        <f>SUMIF('Jul 2026'!$F$2:$F$150,'2026 Summary'!A71,'Jul 2026'!$G$2:$G$150)</f>
        <v>0</v>
      </c>
      <c r="I71" s="5">
        <f>SUMIF('Aug 2026'!$F$2:$F$150,'2026 Summary'!A71,'Aug 2026'!$G$2:$G$150)</f>
        <v>0</v>
      </c>
      <c r="J71" s="5">
        <f>SUMIF('Sep 2026'!$F$2:$F$150,'2026 Summary'!A71,'Sep 2026'!$G$2:$G$150)</f>
        <v>0</v>
      </c>
      <c r="K71" s="5">
        <f>SUMIF('Oct 2026'!$F$2:$F$150,'2026 Summary'!A71,'Oct 2026'!$G$2:$G$150)</f>
        <v>0</v>
      </c>
      <c r="L71" s="5">
        <f>SUMIF('Nov 2026'!$F$2:$F$150,'2026 Summary'!A71,'Nov 2026'!$G$2:$G$150)</f>
        <v>0</v>
      </c>
      <c r="M71" s="5">
        <f>SUMIF('Dec 2026'!$F$2:$F$150,'2026 Summary'!A71,'Dec 2026'!$G$2:$G$150)</f>
        <v>0</v>
      </c>
      <c r="AA71" s="14">
        <f>'Jan 2026'!F70</f>
        <v>0</v>
      </c>
    </row>
    <row r="72" spans="2:27" x14ac:dyDescent="0.25">
      <c r="B72" s="5">
        <f>SUMIF('Jan 2026'!$F$2:$F$150,'2026 Summary'!A72,'Jan 2026'!$G$2:$G$150)</f>
        <v>0</v>
      </c>
      <c r="C72" s="5">
        <f>SUMIF('Feb 2026'!$F$2:$F$150,'2026 Summary'!A72,'Feb 2026'!$G$2:$G$150)</f>
        <v>0</v>
      </c>
      <c r="D72" s="5">
        <f>SUMIF('Mar 2026'!$F$2:$F$150,'2026 Summary'!A72,'Mar 2026'!$G$2:$G$150)</f>
        <v>0</v>
      </c>
      <c r="E72" s="5">
        <f>SUMIF('Apr 2026'!$F$2:$F$150,'2026 Summary'!A72,'Apr 2026'!$G$2:$G$150)</f>
        <v>0</v>
      </c>
      <c r="F72" s="5">
        <f>SUMIF('May 2026'!$F$2:$F$150,'2026 Summary'!A72,'May 2026'!$G$2:$G$150)</f>
        <v>0</v>
      </c>
      <c r="G72" s="5">
        <f>SUMIF('Jun 2026'!$F$2:$F$150,'2026 Summary'!A72,'Jun 2026'!$G$2:$G$150)</f>
        <v>0</v>
      </c>
      <c r="H72" s="5">
        <f>SUMIF('Jul 2026'!$F$2:$F$150,'2026 Summary'!A72,'Jul 2026'!$G$2:$G$150)</f>
        <v>0</v>
      </c>
      <c r="I72" s="5">
        <f>SUMIF('Aug 2026'!$F$2:$F$150,'2026 Summary'!A72,'Aug 2026'!$G$2:$G$150)</f>
        <v>0</v>
      </c>
      <c r="J72" s="5">
        <f>SUMIF('Sep 2026'!$F$2:$F$150,'2026 Summary'!A72,'Sep 2026'!$G$2:$G$150)</f>
        <v>0</v>
      </c>
      <c r="K72" s="5">
        <f>SUMIF('Oct 2026'!$F$2:$F$150,'2026 Summary'!A72,'Oct 2026'!$G$2:$G$150)</f>
        <v>0</v>
      </c>
      <c r="L72" s="5">
        <f>SUMIF('Nov 2026'!$F$2:$F$150,'2026 Summary'!A72,'Nov 2026'!$G$2:$G$150)</f>
        <v>0</v>
      </c>
      <c r="M72" s="5">
        <f>SUMIF('Dec 2026'!$F$2:$F$150,'2026 Summary'!A72,'Dec 2026'!$G$2:$G$150)</f>
        <v>0</v>
      </c>
      <c r="AA72" s="14">
        <f>'Jan 2026'!F71</f>
        <v>0</v>
      </c>
    </row>
    <row r="73" spans="2:27" x14ac:dyDescent="0.25">
      <c r="B73" s="5">
        <f>SUMIF('Jan 2026'!$F$2:$F$150,'2026 Summary'!A73,'Jan 2026'!$G$2:$G$150)</f>
        <v>0</v>
      </c>
      <c r="C73" s="5">
        <f>SUMIF('Feb 2026'!$F$2:$F$150,'2026 Summary'!A73,'Feb 2026'!$G$2:$G$150)</f>
        <v>0</v>
      </c>
      <c r="D73" s="5">
        <f>SUMIF('Mar 2026'!$F$2:$F$150,'2026 Summary'!A73,'Mar 2026'!$G$2:$G$150)</f>
        <v>0</v>
      </c>
      <c r="E73" s="5">
        <f>SUMIF('Apr 2026'!$F$2:$F$150,'2026 Summary'!A73,'Apr 2026'!$G$2:$G$150)</f>
        <v>0</v>
      </c>
      <c r="F73" s="5">
        <f>SUMIF('May 2026'!$F$2:$F$150,'2026 Summary'!A73,'May 2026'!$G$2:$G$150)</f>
        <v>0</v>
      </c>
      <c r="G73" s="5">
        <f>SUMIF('Jun 2026'!$F$2:$F$150,'2026 Summary'!A73,'Jun 2026'!$G$2:$G$150)</f>
        <v>0</v>
      </c>
      <c r="H73" s="5">
        <f>SUMIF('Jul 2026'!$F$2:$F$150,'2026 Summary'!A73,'Jul 2026'!$G$2:$G$150)</f>
        <v>0</v>
      </c>
      <c r="I73" s="5">
        <f>SUMIF('Aug 2026'!$F$2:$F$150,'2026 Summary'!A73,'Aug 2026'!$G$2:$G$150)</f>
        <v>0</v>
      </c>
      <c r="J73" s="5">
        <f>SUMIF('Sep 2026'!$F$2:$F$150,'2026 Summary'!A73,'Sep 2026'!$G$2:$G$150)</f>
        <v>0</v>
      </c>
      <c r="K73" s="5">
        <f>SUMIF('Oct 2026'!$F$2:$F$150,'2026 Summary'!A73,'Oct 2026'!$G$2:$G$150)</f>
        <v>0</v>
      </c>
      <c r="L73" s="5">
        <f>SUMIF('Nov 2026'!$F$2:$F$150,'2026 Summary'!A73,'Nov 2026'!$G$2:$G$150)</f>
        <v>0</v>
      </c>
      <c r="M73" s="5">
        <f>SUMIF('Dec 2026'!$F$2:$F$150,'2026 Summary'!A73,'Dec 2026'!$G$2:$G$150)</f>
        <v>0</v>
      </c>
      <c r="AA73" s="14">
        <f>'Jan 2026'!F72</f>
        <v>0</v>
      </c>
    </row>
    <row r="74" spans="2:27" x14ac:dyDescent="0.25">
      <c r="B74" s="5">
        <f>SUMIF('Jan 2026'!$F$2:$F$150,'2026 Summary'!A74,'Jan 2026'!$G$2:$G$150)</f>
        <v>0</v>
      </c>
      <c r="C74" s="5">
        <f>SUMIF('Feb 2026'!$F$2:$F$150,'2026 Summary'!A74,'Feb 2026'!$G$2:$G$150)</f>
        <v>0</v>
      </c>
      <c r="D74" s="5">
        <f>SUMIF('Mar 2026'!$F$2:$F$150,'2026 Summary'!A74,'Mar 2026'!$G$2:$G$150)</f>
        <v>0</v>
      </c>
      <c r="E74" s="5">
        <f>SUMIF('Apr 2026'!$F$2:$F$150,'2026 Summary'!A74,'Apr 2026'!$G$2:$G$150)</f>
        <v>0</v>
      </c>
      <c r="F74" s="5">
        <f>SUMIF('May 2026'!$F$2:$F$150,'2026 Summary'!A74,'May 2026'!$G$2:$G$150)</f>
        <v>0</v>
      </c>
      <c r="G74" s="5">
        <f>SUMIF('Jun 2026'!$F$2:$F$150,'2026 Summary'!A74,'Jun 2026'!$G$2:$G$150)</f>
        <v>0</v>
      </c>
      <c r="H74" s="5">
        <f>SUMIF('Jul 2026'!$F$2:$F$150,'2026 Summary'!A74,'Jul 2026'!$G$2:$G$150)</f>
        <v>0</v>
      </c>
      <c r="I74" s="5">
        <f>SUMIF('Aug 2026'!$F$2:$F$150,'2026 Summary'!A74,'Aug 2026'!$G$2:$G$150)</f>
        <v>0</v>
      </c>
      <c r="J74" s="5">
        <f>SUMIF('Sep 2026'!$F$2:$F$150,'2026 Summary'!A74,'Sep 2026'!$G$2:$G$150)</f>
        <v>0</v>
      </c>
      <c r="K74" s="5">
        <f>SUMIF('Oct 2026'!$F$2:$F$150,'2026 Summary'!A74,'Oct 2026'!$G$2:$G$150)</f>
        <v>0</v>
      </c>
      <c r="L74" s="5">
        <f>SUMIF('Nov 2026'!$F$2:$F$150,'2026 Summary'!A74,'Nov 2026'!$G$2:$G$150)</f>
        <v>0</v>
      </c>
      <c r="M74" s="5">
        <f>SUMIF('Dec 2026'!$F$2:$F$150,'2026 Summary'!A74,'Dec 2026'!$G$2:$G$150)</f>
        <v>0</v>
      </c>
      <c r="AA74" s="14">
        <f>'Jan 2026'!F73</f>
        <v>0</v>
      </c>
    </row>
    <row r="75" spans="2:27" x14ac:dyDescent="0.25">
      <c r="B75" s="5">
        <f>SUMIF('Jan 2026'!$F$2:$F$150,'2026 Summary'!A75,'Jan 2026'!$G$2:$G$150)</f>
        <v>0</v>
      </c>
      <c r="C75" s="5">
        <f>SUMIF('Feb 2026'!$F$2:$F$150,'2026 Summary'!A75,'Feb 2026'!$G$2:$G$150)</f>
        <v>0</v>
      </c>
      <c r="D75" s="5">
        <f>SUMIF('Mar 2026'!$F$2:$F$150,'2026 Summary'!A75,'Mar 2026'!$G$2:$G$150)</f>
        <v>0</v>
      </c>
      <c r="E75" s="5">
        <f>SUMIF('Apr 2026'!$F$2:$F$150,'2026 Summary'!A75,'Apr 2026'!$G$2:$G$150)</f>
        <v>0</v>
      </c>
      <c r="F75" s="5">
        <f>SUMIF('May 2026'!$F$2:$F$150,'2026 Summary'!A75,'May 2026'!$G$2:$G$150)</f>
        <v>0</v>
      </c>
      <c r="G75" s="5">
        <f>SUMIF('Jun 2026'!$F$2:$F$150,'2026 Summary'!A75,'Jun 2026'!$G$2:$G$150)</f>
        <v>0</v>
      </c>
      <c r="H75" s="5">
        <f>SUMIF('Jul 2026'!$F$2:$F$150,'2026 Summary'!A75,'Jul 2026'!$G$2:$G$150)</f>
        <v>0</v>
      </c>
      <c r="I75" s="5">
        <f>SUMIF('Aug 2026'!$F$2:$F$150,'2026 Summary'!A75,'Aug 2026'!$G$2:$G$150)</f>
        <v>0</v>
      </c>
      <c r="J75" s="5">
        <f>SUMIF('Sep 2026'!$F$2:$F$150,'2026 Summary'!A75,'Sep 2026'!$G$2:$G$150)</f>
        <v>0</v>
      </c>
      <c r="K75" s="5">
        <f>SUMIF('Oct 2026'!$F$2:$F$150,'2026 Summary'!A75,'Oct 2026'!$G$2:$G$150)</f>
        <v>0</v>
      </c>
      <c r="L75" s="5">
        <f>SUMIF('Nov 2026'!$F$2:$F$150,'2026 Summary'!A75,'Nov 2026'!$G$2:$G$150)</f>
        <v>0</v>
      </c>
      <c r="M75" s="5">
        <f>SUMIF('Dec 2026'!$F$2:$F$150,'2026 Summary'!A75,'Dec 2026'!$G$2:$G$150)</f>
        <v>0</v>
      </c>
      <c r="AA75" s="14">
        <f>'Jan 2026'!F74</f>
        <v>0</v>
      </c>
    </row>
    <row r="76" spans="2:27" x14ac:dyDescent="0.25">
      <c r="B76" s="5">
        <f>SUMIF('Jan 2026'!$F$2:$F$150,'2026 Summary'!A76,'Jan 2026'!$G$2:$G$150)</f>
        <v>0</v>
      </c>
      <c r="C76" s="5">
        <f>SUMIF('Feb 2026'!$F$2:$F$150,'2026 Summary'!A76,'Feb 2026'!$G$2:$G$150)</f>
        <v>0</v>
      </c>
      <c r="D76" s="5">
        <f>SUMIF('Mar 2026'!$F$2:$F$150,'2026 Summary'!A76,'Mar 2026'!$G$2:$G$150)</f>
        <v>0</v>
      </c>
      <c r="E76" s="5">
        <f>SUMIF('Apr 2026'!$F$2:$F$150,'2026 Summary'!A76,'Apr 2026'!$G$2:$G$150)</f>
        <v>0</v>
      </c>
      <c r="F76" s="5">
        <f>SUMIF('May 2026'!$F$2:$F$150,'2026 Summary'!A76,'May 2026'!$G$2:$G$150)</f>
        <v>0</v>
      </c>
      <c r="G76" s="5">
        <f>SUMIF('Jun 2026'!$F$2:$F$150,'2026 Summary'!A76,'Jun 2026'!$G$2:$G$150)</f>
        <v>0</v>
      </c>
      <c r="H76" s="5">
        <f>SUMIF('Jul 2026'!$F$2:$F$150,'2026 Summary'!A76,'Jul 2026'!$G$2:$G$150)</f>
        <v>0</v>
      </c>
      <c r="I76" s="5">
        <f>SUMIF('Aug 2026'!$F$2:$F$150,'2026 Summary'!A76,'Aug 2026'!$G$2:$G$150)</f>
        <v>0</v>
      </c>
      <c r="J76" s="5">
        <f>SUMIF('Sep 2026'!$F$2:$F$150,'2026 Summary'!A76,'Sep 2026'!$G$2:$G$150)</f>
        <v>0</v>
      </c>
      <c r="K76" s="5">
        <f>SUMIF('Oct 2026'!$F$2:$F$150,'2026 Summary'!A76,'Oct 2026'!$G$2:$G$150)</f>
        <v>0</v>
      </c>
      <c r="L76" s="5">
        <f>SUMIF('Nov 2026'!$F$2:$F$150,'2026 Summary'!A76,'Nov 2026'!$G$2:$G$150)</f>
        <v>0</v>
      </c>
      <c r="M76" s="5">
        <f>SUMIF('Dec 2026'!$F$2:$F$150,'2026 Summary'!A76,'Dec 2026'!$G$2:$G$150)</f>
        <v>0</v>
      </c>
      <c r="AA76" s="14">
        <f>'Jan 2026'!F75</f>
        <v>0</v>
      </c>
    </row>
    <row r="77" spans="2:27" x14ac:dyDescent="0.25">
      <c r="B77" s="5">
        <f>SUMIF('Jan 2026'!$F$2:$F$150,'2026 Summary'!A77,'Jan 2026'!$G$2:$G$150)</f>
        <v>0</v>
      </c>
      <c r="C77" s="5">
        <f>SUMIF('Feb 2026'!$F$2:$F$150,'2026 Summary'!A77,'Feb 2026'!$G$2:$G$150)</f>
        <v>0</v>
      </c>
      <c r="D77" s="5">
        <f>SUMIF('Mar 2026'!$F$2:$F$150,'2026 Summary'!A77,'Mar 2026'!$G$2:$G$150)</f>
        <v>0</v>
      </c>
      <c r="E77" s="5">
        <f>SUMIF('Apr 2026'!$F$2:$F$150,'2026 Summary'!A77,'Apr 2026'!$G$2:$G$150)</f>
        <v>0</v>
      </c>
      <c r="F77" s="5">
        <f>SUMIF('May 2026'!$F$2:$F$150,'2026 Summary'!A77,'May 2026'!$G$2:$G$150)</f>
        <v>0</v>
      </c>
      <c r="G77" s="5">
        <f>SUMIF('Jun 2026'!$F$2:$F$150,'2026 Summary'!A77,'Jun 2026'!$G$2:$G$150)</f>
        <v>0</v>
      </c>
      <c r="H77" s="5">
        <f>SUMIF('Jul 2026'!$F$2:$F$150,'2026 Summary'!A77,'Jul 2026'!$G$2:$G$150)</f>
        <v>0</v>
      </c>
      <c r="I77" s="5">
        <f>SUMIF('Aug 2026'!$F$2:$F$150,'2026 Summary'!A77,'Aug 2026'!$G$2:$G$150)</f>
        <v>0</v>
      </c>
      <c r="J77" s="5">
        <f>SUMIF('Sep 2026'!$F$2:$F$150,'2026 Summary'!A77,'Sep 2026'!$G$2:$G$150)</f>
        <v>0</v>
      </c>
      <c r="K77" s="5">
        <f>SUMIF('Oct 2026'!$F$2:$F$150,'2026 Summary'!A77,'Oct 2026'!$G$2:$G$150)</f>
        <v>0</v>
      </c>
      <c r="L77" s="5">
        <f>SUMIF('Nov 2026'!$F$2:$F$150,'2026 Summary'!A77,'Nov 2026'!$G$2:$G$150)</f>
        <v>0</v>
      </c>
      <c r="M77" s="5">
        <f>SUMIF('Dec 2026'!$F$2:$F$150,'2026 Summary'!A77,'Dec 2026'!$G$2:$G$150)</f>
        <v>0</v>
      </c>
      <c r="AA77" s="14">
        <f>'Jan 2026'!F76</f>
        <v>0</v>
      </c>
    </row>
    <row r="78" spans="2:27" x14ac:dyDescent="0.25">
      <c r="B78" s="5">
        <f>SUMIF('Jan 2026'!$F$2:$F$150,'2026 Summary'!A78,'Jan 2026'!$G$2:$G$150)</f>
        <v>0</v>
      </c>
      <c r="C78" s="5">
        <f>SUMIF('Feb 2026'!$F$2:$F$150,'2026 Summary'!A78,'Feb 2026'!$G$2:$G$150)</f>
        <v>0</v>
      </c>
      <c r="D78" s="5">
        <f>SUMIF('Mar 2026'!$F$2:$F$150,'2026 Summary'!A78,'Mar 2026'!$G$2:$G$150)</f>
        <v>0</v>
      </c>
      <c r="E78" s="5">
        <f>SUMIF('Apr 2026'!$F$2:$F$150,'2026 Summary'!A78,'Apr 2026'!$G$2:$G$150)</f>
        <v>0</v>
      </c>
      <c r="F78" s="5">
        <f>SUMIF('May 2026'!$F$2:$F$150,'2026 Summary'!A78,'May 2026'!$G$2:$G$150)</f>
        <v>0</v>
      </c>
      <c r="G78" s="5">
        <f>SUMIF('Jun 2026'!$F$2:$F$150,'2026 Summary'!A78,'Jun 2026'!$G$2:$G$150)</f>
        <v>0</v>
      </c>
      <c r="H78" s="5">
        <f>SUMIF('Jul 2026'!$F$2:$F$150,'2026 Summary'!A78,'Jul 2026'!$G$2:$G$150)</f>
        <v>0</v>
      </c>
      <c r="I78" s="5">
        <f>SUMIF('Aug 2026'!$F$2:$F$150,'2026 Summary'!A78,'Aug 2026'!$G$2:$G$150)</f>
        <v>0</v>
      </c>
      <c r="J78" s="5">
        <f>SUMIF('Sep 2026'!$F$2:$F$150,'2026 Summary'!A78,'Sep 2026'!$G$2:$G$150)</f>
        <v>0</v>
      </c>
      <c r="K78" s="5">
        <f>SUMIF('Oct 2026'!$F$2:$F$150,'2026 Summary'!A78,'Oct 2026'!$G$2:$G$150)</f>
        <v>0</v>
      </c>
      <c r="L78" s="5">
        <f>SUMIF('Nov 2026'!$F$2:$F$150,'2026 Summary'!A78,'Nov 2026'!$G$2:$G$150)</f>
        <v>0</v>
      </c>
      <c r="M78" s="5">
        <f>SUMIF('Dec 2026'!$F$2:$F$150,'2026 Summary'!A78,'Dec 2026'!$G$2:$G$150)</f>
        <v>0</v>
      </c>
      <c r="AA78" s="14">
        <f>'Jan 2026'!F77</f>
        <v>0</v>
      </c>
    </row>
    <row r="79" spans="2:27" x14ac:dyDescent="0.25">
      <c r="B79" s="5">
        <f>SUMIF('Jan 2026'!$F$2:$F$150,'2026 Summary'!A79,'Jan 2026'!$G$2:$G$150)</f>
        <v>0</v>
      </c>
      <c r="C79" s="5">
        <f>SUMIF('Feb 2026'!$F$2:$F$150,'2026 Summary'!A79,'Feb 2026'!$G$2:$G$150)</f>
        <v>0</v>
      </c>
      <c r="D79" s="5">
        <f>SUMIF('Mar 2026'!$F$2:$F$150,'2026 Summary'!A79,'Mar 2026'!$G$2:$G$150)</f>
        <v>0</v>
      </c>
      <c r="E79" s="5">
        <f>SUMIF('Apr 2026'!$F$2:$F$150,'2026 Summary'!A79,'Apr 2026'!$G$2:$G$150)</f>
        <v>0</v>
      </c>
      <c r="F79" s="5">
        <f>SUMIF('May 2026'!$F$2:$F$150,'2026 Summary'!A79,'May 2026'!$G$2:$G$150)</f>
        <v>0</v>
      </c>
      <c r="G79" s="5">
        <f>SUMIF('Jun 2026'!$F$2:$F$150,'2026 Summary'!A79,'Jun 2026'!$G$2:$G$150)</f>
        <v>0</v>
      </c>
      <c r="H79" s="5">
        <f>SUMIF('Jul 2026'!$F$2:$F$150,'2026 Summary'!A79,'Jul 2026'!$G$2:$G$150)</f>
        <v>0</v>
      </c>
      <c r="I79" s="5">
        <f>SUMIF('Aug 2026'!$F$2:$F$150,'2026 Summary'!A79,'Aug 2026'!$G$2:$G$150)</f>
        <v>0</v>
      </c>
      <c r="J79" s="5">
        <f>SUMIF('Sep 2026'!$F$2:$F$150,'2026 Summary'!A79,'Sep 2026'!$G$2:$G$150)</f>
        <v>0</v>
      </c>
      <c r="K79" s="5">
        <f>SUMIF('Oct 2026'!$F$2:$F$150,'2026 Summary'!A79,'Oct 2026'!$G$2:$G$150)</f>
        <v>0</v>
      </c>
      <c r="L79" s="5">
        <f>SUMIF('Nov 2026'!$F$2:$F$150,'2026 Summary'!A79,'Nov 2026'!$G$2:$G$150)</f>
        <v>0</v>
      </c>
      <c r="M79" s="5">
        <f>SUMIF('Dec 2026'!$F$2:$F$150,'2026 Summary'!A79,'Dec 2026'!$G$2:$G$150)</f>
        <v>0</v>
      </c>
      <c r="AA79" s="14">
        <f>'Jan 2026'!F78</f>
        <v>0</v>
      </c>
    </row>
    <row r="80" spans="2:27" x14ac:dyDescent="0.25">
      <c r="B80" s="5">
        <f>SUMIF('Jan 2026'!$F$2:$F$150,'2026 Summary'!A80,'Jan 2026'!$G$2:$G$150)</f>
        <v>0</v>
      </c>
      <c r="C80" s="5">
        <f>SUMIF('Feb 2026'!$F$2:$F$150,'2026 Summary'!A80,'Feb 2026'!$G$2:$G$150)</f>
        <v>0</v>
      </c>
      <c r="D80" s="5">
        <f>SUMIF('Mar 2026'!$F$2:$F$150,'2026 Summary'!A80,'Mar 2026'!$G$2:$G$150)</f>
        <v>0</v>
      </c>
      <c r="E80" s="5">
        <f>SUMIF('Apr 2026'!$F$2:$F$150,'2026 Summary'!A80,'Apr 2026'!$G$2:$G$150)</f>
        <v>0</v>
      </c>
      <c r="F80" s="5">
        <f>SUMIF('May 2026'!$F$2:$F$150,'2026 Summary'!A80,'May 2026'!$G$2:$G$150)</f>
        <v>0</v>
      </c>
      <c r="G80" s="5">
        <f>SUMIF('Jun 2026'!$F$2:$F$150,'2026 Summary'!A80,'Jun 2026'!$G$2:$G$150)</f>
        <v>0</v>
      </c>
      <c r="H80" s="5">
        <f>SUMIF('Jul 2026'!$F$2:$F$150,'2026 Summary'!A80,'Jul 2026'!$G$2:$G$150)</f>
        <v>0</v>
      </c>
      <c r="I80" s="5">
        <f>SUMIF('Aug 2026'!$F$2:$F$150,'2026 Summary'!A80,'Aug 2026'!$G$2:$G$150)</f>
        <v>0</v>
      </c>
      <c r="J80" s="5">
        <f>SUMIF('Sep 2026'!$F$2:$F$150,'2026 Summary'!A80,'Sep 2026'!$G$2:$G$150)</f>
        <v>0</v>
      </c>
      <c r="K80" s="5">
        <f>SUMIF('Oct 2026'!$F$2:$F$150,'2026 Summary'!A80,'Oct 2026'!$G$2:$G$150)</f>
        <v>0</v>
      </c>
      <c r="L80" s="5">
        <f>SUMIF('Nov 2026'!$F$2:$F$150,'2026 Summary'!A80,'Nov 2026'!$G$2:$G$150)</f>
        <v>0</v>
      </c>
      <c r="M80" s="5">
        <f>SUMIF('Dec 2026'!$F$2:$F$150,'2026 Summary'!A80,'Dec 2026'!$G$2:$G$150)</f>
        <v>0</v>
      </c>
      <c r="AA80" s="14">
        <f>'Jan 2026'!F79</f>
        <v>0</v>
      </c>
    </row>
    <row r="81" spans="2:27" x14ac:dyDescent="0.25">
      <c r="B81" s="5">
        <f>SUMIF('Jan 2026'!$F$2:$F$150,'2026 Summary'!A81,'Jan 2026'!$G$2:$G$150)</f>
        <v>0</v>
      </c>
      <c r="C81" s="5">
        <f>SUMIF('Feb 2026'!$F$2:$F$150,'2026 Summary'!A81,'Feb 2026'!$G$2:$G$150)</f>
        <v>0</v>
      </c>
      <c r="D81" s="5">
        <f>SUMIF('Mar 2026'!$F$2:$F$150,'2026 Summary'!A81,'Mar 2026'!$G$2:$G$150)</f>
        <v>0</v>
      </c>
      <c r="E81" s="5">
        <f>SUMIF('Apr 2026'!$F$2:$F$150,'2026 Summary'!A81,'Apr 2026'!$G$2:$G$150)</f>
        <v>0</v>
      </c>
      <c r="F81" s="5">
        <f>SUMIF('May 2026'!$F$2:$F$150,'2026 Summary'!A81,'May 2026'!$G$2:$G$150)</f>
        <v>0</v>
      </c>
      <c r="G81" s="5">
        <f>SUMIF('Jun 2026'!$F$2:$F$150,'2026 Summary'!A81,'Jun 2026'!$G$2:$G$150)</f>
        <v>0</v>
      </c>
      <c r="H81" s="5">
        <f>SUMIF('Jul 2026'!$F$2:$F$150,'2026 Summary'!A81,'Jul 2026'!$G$2:$G$150)</f>
        <v>0</v>
      </c>
      <c r="I81" s="5">
        <f>SUMIF('Aug 2026'!$F$2:$F$150,'2026 Summary'!A81,'Aug 2026'!$G$2:$G$150)</f>
        <v>0</v>
      </c>
      <c r="J81" s="5">
        <f>SUMIF('Sep 2026'!$F$2:$F$150,'2026 Summary'!A81,'Sep 2026'!$G$2:$G$150)</f>
        <v>0</v>
      </c>
      <c r="K81" s="5">
        <f>SUMIF('Oct 2026'!$F$2:$F$150,'2026 Summary'!A81,'Oct 2026'!$G$2:$G$150)</f>
        <v>0</v>
      </c>
      <c r="L81" s="5">
        <f>SUMIF('Nov 2026'!$F$2:$F$150,'2026 Summary'!A81,'Nov 2026'!$G$2:$G$150)</f>
        <v>0</v>
      </c>
      <c r="M81" s="5">
        <f>SUMIF('Dec 2026'!$F$2:$F$150,'2026 Summary'!A81,'Dec 2026'!$G$2:$G$150)</f>
        <v>0</v>
      </c>
      <c r="AA81" s="14">
        <f>'Jan 2026'!F80</f>
        <v>0</v>
      </c>
    </row>
    <row r="82" spans="2:27" x14ac:dyDescent="0.25">
      <c r="B82" s="5">
        <f>SUMIF('Jan 2026'!$F$2:$F$150,'2026 Summary'!A82,'Jan 2026'!$G$2:$G$150)</f>
        <v>0</v>
      </c>
      <c r="C82" s="5">
        <f>SUMIF('Feb 2026'!$F$2:$F$150,'2026 Summary'!A82,'Feb 2026'!$G$2:$G$150)</f>
        <v>0</v>
      </c>
      <c r="D82" s="5">
        <f>SUMIF('Mar 2026'!$F$2:$F$150,'2026 Summary'!A82,'Mar 2026'!$G$2:$G$150)</f>
        <v>0</v>
      </c>
      <c r="E82" s="5">
        <f>SUMIF('Apr 2026'!$F$2:$F$150,'2026 Summary'!A82,'Apr 2026'!$G$2:$G$150)</f>
        <v>0</v>
      </c>
      <c r="F82" s="5">
        <f>SUMIF('May 2026'!$F$2:$F$150,'2026 Summary'!A82,'May 2026'!$G$2:$G$150)</f>
        <v>0</v>
      </c>
      <c r="G82" s="5">
        <f>SUMIF('Jun 2026'!$F$2:$F$150,'2026 Summary'!A82,'Jun 2026'!$G$2:$G$150)</f>
        <v>0</v>
      </c>
      <c r="H82" s="5">
        <f>SUMIF('Jul 2026'!$F$2:$F$150,'2026 Summary'!A82,'Jul 2026'!$G$2:$G$150)</f>
        <v>0</v>
      </c>
      <c r="I82" s="5">
        <f>SUMIF('Aug 2026'!$F$2:$F$150,'2026 Summary'!A82,'Aug 2026'!$G$2:$G$150)</f>
        <v>0</v>
      </c>
      <c r="J82" s="5">
        <f>SUMIF('Sep 2026'!$F$2:$F$150,'2026 Summary'!A82,'Sep 2026'!$G$2:$G$150)</f>
        <v>0</v>
      </c>
      <c r="K82" s="5">
        <f>SUMIF('Oct 2026'!$F$2:$F$150,'2026 Summary'!A82,'Oct 2026'!$G$2:$G$150)</f>
        <v>0</v>
      </c>
      <c r="L82" s="5">
        <f>SUMIF('Nov 2026'!$F$2:$F$150,'2026 Summary'!A82,'Nov 2026'!$G$2:$G$150)</f>
        <v>0</v>
      </c>
      <c r="M82" s="5">
        <f>SUMIF('Dec 2026'!$F$2:$F$150,'2026 Summary'!A82,'Dec 2026'!$G$2:$G$150)</f>
        <v>0</v>
      </c>
      <c r="AA82" s="14">
        <f>'Jan 2026'!F81</f>
        <v>0</v>
      </c>
    </row>
    <row r="83" spans="2:27" x14ac:dyDescent="0.25">
      <c r="B83" s="5">
        <f>SUMIF('Jan 2026'!$F$2:$F$150,'2026 Summary'!A83,'Jan 2026'!$G$2:$G$150)</f>
        <v>0</v>
      </c>
      <c r="C83" s="5">
        <f>SUMIF('Feb 2026'!$F$2:$F$150,'2026 Summary'!A83,'Feb 2026'!$G$2:$G$150)</f>
        <v>0</v>
      </c>
      <c r="D83" s="5">
        <f>SUMIF('Mar 2026'!$F$2:$F$150,'2026 Summary'!A83,'Mar 2026'!$G$2:$G$150)</f>
        <v>0</v>
      </c>
      <c r="E83" s="5">
        <f>SUMIF('Apr 2026'!$F$2:$F$150,'2026 Summary'!A83,'Apr 2026'!$G$2:$G$150)</f>
        <v>0</v>
      </c>
      <c r="F83" s="5">
        <f>SUMIF('May 2026'!$F$2:$F$150,'2026 Summary'!A83,'May 2026'!$G$2:$G$150)</f>
        <v>0</v>
      </c>
      <c r="G83" s="5">
        <f>SUMIF('Jun 2026'!$F$2:$F$150,'2026 Summary'!A83,'Jun 2026'!$G$2:$G$150)</f>
        <v>0</v>
      </c>
      <c r="H83" s="5">
        <f>SUMIF('Jul 2026'!$F$2:$F$150,'2026 Summary'!A83,'Jul 2026'!$G$2:$G$150)</f>
        <v>0</v>
      </c>
      <c r="I83" s="5">
        <f>SUMIF('Aug 2026'!$F$2:$F$150,'2026 Summary'!A83,'Aug 2026'!$G$2:$G$150)</f>
        <v>0</v>
      </c>
      <c r="J83" s="5">
        <f>SUMIF('Sep 2026'!$F$2:$F$150,'2026 Summary'!A83,'Sep 2026'!$G$2:$G$150)</f>
        <v>0</v>
      </c>
      <c r="K83" s="5">
        <f>SUMIF('Oct 2026'!$F$2:$F$150,'2026 Summary'!A83,'Oct 2026'!$G$2:$G$150)</f>
        <v>0</v>
      </c>
      <c r="L83" s="5">
        <f>SUMIF('Nov 2026'!$F$2:$F$150,'2026 Summary'!A83,'Nov 2026'!$G$2:$G$150)</f>
        <v>0</v>
      </c>
      <c r="M83" s="5">
        <f>SUMIF('Dec 2026'!$F$2:$F$150,'2026 Summary'!A83,'Dec 2026'!$G$2:$G$150)</f>
        <v>0</v>
      </c>
      <c r="AA83" s="14">
        <f>'Jan 2026'!F82</f>
        <v>0</v>
      </c>
    </row>
    <row r="84" spans="2:27" x14ac:dyDescent="0.25">
      <c r="B84" s="5">
        <f>SUMIF('Jan 2026'!$F$2:$F$150,'2026 Summary'!A84,'Jan 2026'!$G$2:$G$150)</f>
        <v>0</v>
      </c>
      <c r="C84" s="5">
        <f>SUMIF('Feb 2026'!$F$2:$F$150,'2026 Summary'!A84,'Feb 2026'!$G$2:$G$150)</f>
        <v>0</v>
      </c>
      <c r="D84" s="5">
        <f>SUMIF('Mar 2026'!$F$2:$F$150,'2026 Summary'!A84,'Mar 2026'!$G$2:$G$150)</f>
        <v>0</v>
      </c>
      <c r="E84" s="5">
        <f>SUMIF('Apr 2026'!$F$2:$F$150,'2026 Summary'!A84,'Apr 2026'!$G$2:$G$150)</f>
        <v>0</v>
      </c>
      <c r="F84" s="5">
        <f>SUMIF('May 2026'!$F$2:$F$150,'2026 Summary'!A84,'May 2026'!$G$2:$G$150)</f>
        <v>0</v>
      </c>
      <c r="G84" s="5">
        <f>SUMIF('Jun 2026'!$F$2:$F$150,'2026 Summary'!A84,'Jun 2026'!$G$2:$G$150)</f>
        <v>0</v>
      </c>
      <c r="H84" s="5">
        <f>SUMIF('Jul 2026'!$F$2:$F$150,'2026 Summary'!A84,'Jul 2026'!$G$2:$G$150)</f>
        <v>0</v>
      </c>
      <c r="I84" s="5">
        <f>SUMIF('Aug 2026'!$F$2:$F$150,'2026 Summary'!A84,'Aug 2026'!$G$2:$G$150)</f>
        <v>0</v>
      </c>
      <c r="J84" s="5">
        <f>SUMIF('Sep 2026'!$F$2:$F$150,'2026 Summary'!A84,'Sep 2026'!$G$2:$G$150)</f>
        <v>0</v>
      </c>
      <c r="K84" s="5">
        <f>SUMIF('Oct 2026'!$F$2:$F$150,'2026 Summary'!A84,'Oct 2026'!$G$2:$G$150)</f>
        <v>0</v>
      </c>
      <c r="L84" s="5">
        <f>SUMIF('Nov 2026'!$F$2:$F$150,'2026 Summary'!A84,'Nov 2026'!$G$2:$G$150)</f>
        <v>0</v>
      </c>
      <c r="M84" s="5">
        <f>SUMIF('Dec 2026'!$F$2:$F$150,'2026 Summary'!A84,'Dec 2026'!$G$2:$G$150)</f>
        <v>0</v>
      </c>
      <c r="AA84" s="14">
        <f>'Jan 2026'!F83</f>
        <v>0</v>
      </c>
    </row>
    <row r="85" spans="2:27" x14ac:dyDescent="0.25">
      <c r="B85" s="5">
        <f>SUMIF('Jan 2026'!$F$2:$F$150,'2026 Summary'!A85,'Jan 2026'!$G$2:$G$150)</f>
        <v>0</v>
      </c>
      <c r="C85" s="5">
        <f>SUMIF('Feb 2026'!$F$2:$F$150,'2026 Summary'!A85,'Feb 2026'!$G$2:$G$150)</f>
        <v>0</v>
      </c>
      <c r="D85" s="5">
        <f>SUMIF('Mar 2026'!$F$2:$F$150,'2026 Summary'!A85,'Mar 2026'!$G$2:$G$150)</f>
        <v>0</v>
      </c>
      <c r="E85" s="5">
        <f>SUMIF('Apr 2026'!$F$2:$F$150,'2026 Summary'!A85,'Apr 2026'!$G$2:$G$150)</f>
        <v>0</v>
      </c>
      <c r="F85" s="5">
        <f>SUMIF('May 2026'!$F$2:$F$150,'2026 Summary'!A85,'May 2026'!$G$2:$G$150)</f>
        <v>0</v>
      </c>
      <c r="G85" s="5">
        <f>SUMIF('Jun 2026'!$F$2:$F$150,'2026 Summary'!A85,'Jun 2026'!$G$2:$G$150)</f>
        <v>0</v>
      </c>
      <c r="H85" s="5">
        <f>SUMIF('Jul 2026'!$F$2:$F$150,'2026 Summary'!A85,'Jul 2026'!$G$2:$G$150)</f>
        <v>0</v>
      </c>
      <c r="I85" s="5">
        <f>SUMIF('Aug 2026'!$F$2:$F$150,'2026 Summary'!A85,'Aug 2026'!$G$2:$G$150)</f>
        <v>0</v>
      </c>
      <c r="J85" s="5">
        <f>SUMIF('Sep 2026'!$F$2:$F$150,'2026 Summary'!A85,'Sep 2026'!$G$2:$G$150)</f>
        <v>0</v>
      </c>
      <c r="K85" s="5">
        <f>SUMIF('Oct 2026'!$F$2:$F$150,'2026 Summary'!A85,'Oct 2026'!$G$2:$G$150)</f>
        <v>0</v>
      </c>
      <c r="L85" s="5">
        <f>SUMIF('Nov 2026'!$F$2:$F$150,'2026 Summary'!A85,'Nov 2026'!$G$2:$G$150)</f>
        <v>0</v>
      </c>
      <c r="M85" s="5">
        <f>SUMIF('Dec 2026'!$F$2:$F$150,'2026 Summary'!A85,'Dec 2026'!$G$2:$G$150)</f>
        <v>0</v>
      </c>
      <c r="AA85" s="14">
        <f>'Jan 2026'!F84</f>
        <v>0</v>
      </c>
    </row>
    <row r="86" spans="2:27" x14ac:dyDescent="0.25">
      <c r="B86" s="5">
        <f>SUMIF('Jan 2026'!$F$2:$F$150,'2026 Summary'!A86,'Jan 2026'!$G$2:$G$150)</f>
        <v>0</v>
      </c>
      <c r="C86" s="5">
        <f>SUMIF('Feb 2026'!$F$2:$F$150,'2026 Summary'!A86,'Feb 2026'!$G$2:$G$150)</f>
        <v>0</v>
      </c>
      <c r="D86" s="5">
        <f>SUMIF('Mar 2026'!$F$2:$F$150,'2026 Summary'!A86,'Mar 2026'!$G$2:$G$150)</f>
        <v>0</v>
      </c>
      <c r="E86" s="5">
        <f>SUMIF('Apr 2026'!$F$2:$F$150,'2026 Summary'!A86,'Apr 2026'!$G$2:$G$150)</f>
        <v>0</v>
      </c>
      <c r="F86" s="5">
        <f>SUMIF('May 2026'!$F$2:$F$150,'2026 Summary'!A86,'May 2026'!$G$2:$G$150)</f>
        <v>0</v>
      </c>
      <c r="G86" s="5">
        <f>SUMIF('Jun 2026'!$F$2:$F$150,'2026 Summary'!A86,'Jun 2026'!$G$2:$G$150)</f>
        <v>0</v>
      </c>
      <c r="H86" s="5">
        <f>SUMIF('Jul 2026'!$F$2:$F$150,'2026 Summary'!A86,'Jul 2026'!$G$2:$G$150)</f>
        <v>0</v>
      </c>
      <c r="I86" s="5">
        <f>SUMIF('Aug 2026'!$F$2:$F$150,'2026 Summary'!A86,'Aug 2026'!$G$2:$G$150)</f>
        <v>0</v>
      </c>
      <c r="J86" s="5">
        <f>SUMIF('Sep 2026'!$F$2:$F$150,'2026 Summary'!A86,'Sep 2026'!$G$2:$G$150)</f>
        <v>0</v>
      </c>
      <c r="K86" s="5">
        <f>SUMIF('Oct 2026'!$F$2:$F$150,'2026 Summary'!A86,'Oct 2026'!$G$2:$G$150)</f>
        <v>0</v>
      </c>
      <c r="L86" s="5">
        <f>SUMIF('Nov 2026'!$F$2:$F$150,'2026 Summary'!A86,'Nov 2026'!$G$2:$G$150)</f>
        <v>0</v>
      </c>
      <c r="M86" s="5">
        <f>SUMIF('Dec 2026'!$F$2:$F$150,'2026 Summary'!A86,'Dec 2026'!$G$2:$G$150)</f>
        <v>0</v>
      </c>
      <c r="AA86" s="14">
        <f>'Jan 2026'!F85</f>
        <v>0</v>
      </c>
    </row>
    <row r="87" spans="2:27" x14ac:dyDescent="0.25">
      <c r="B87" s="5">
        <f>SUMIF('Jan 2026'!$F$2:$F$150,'2026 Summary'!A87,'Jan 2026'!$G$2:$G$150)</f>
        <v>0</v>
      </c>
      <c r="C87" s="5">
        <f>SUMIF('Feb 2026'!$F$2:$F$150,'2026 Summary'!A87,'Feb 2026'!$G$2:$G$150)</f>
        <v>0</v>
      </c>
      <c r="D87" s="5">
        <f>SUMIF('Mar 2026'!$F$2:$F$150,'2026 Summary'!A87,'Mar 2026'!$G$2:$G$150)</f>
        <v>0</v>
      </c>
      <c r="E87" s="5">
        <f>SUMIF('Apr 2026'!$F$2:$F$150,'2026 Summary'!A87,'Apr 2026'!$G$2:$G$150)</f>
        <v>0</v>
      </c>
      <c r="F87" s="5">
        <f>SUMIF('May 2026'!$F$2:$F$150,'2026 Summary'!A87,'May 2026'!$G$2:$G$150)</f>
        <v>0</v>
      </c>
      <c r="G87" s="5">
        <f>SUMIF('Jun 2026'!$F$2:$F$150,'2026 Summary'!A87,'Jun 2026'!$G$2:$G$150)</f>
        <v>0</v>
      </c>
      <c r="H87" s="5">
        <f>SUMIF('Jul 2026'!$F$2:$F$150,'2026 Summary'!A87,'Jul 2026'!$G$2:$G$150)</f>
        <v>0</v>
      </c>
      <c r="I87" s="5">
        <f>SUMIF('Aug 2026'!$F$2:$F$150,'2026 Summary'!A87,'Aug 2026'!$G$2:$G$150)</f>
        <v>0</v>
      </c>
      <c r="J87" s="5">
        <f>SUMIF('Sep 2026'!$F$2:$F$150,'2026 Summary'!A87,'Sep 2026'!$G$2:$G$150)</f>
        <v>0</v>
      </c>
      <c r="K87" s="5">
        <f>SUMIF('Oct 2026'!$F$2:$F$150,'2026 Summary'!A87,'Oct 2026'!$G$2:$G$150)</f>
        <v>0</v>
      </c>
      <c r="L87" s="5">
        <f>SUMIF('Nov 2026'!$F$2:$F$150,'2026 Summary'!A87,'Nov 2026'!$G$2:$G$150)</f>
        <v>0</v>
      </c>
      <c r="M87" s="5">
        <f>SUMIF('Dec 2026'!$F$2:$F$150,'2026 Summary'!A87,'Dec 2026'!$G$2:$G$150)</f>
        <v>0</v>
      </c>
      <c r="AA87" s="14">
        <f>'Jan 2026'!F86</f>
        <v>0</v>
      </c>
    </row>
    <row r="88" spans="2:27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AA88" s="14">
        <f>'Jan 2026'!F87</f>
        <v>0</v>
      </c>
    </row>
    <row r="89" spans="2:27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AA89" s="14">
        <f>'Jan 2026'!F88</f>
        <v>0</v>
      </c>
    </row>
    <row r="90" spans="2:27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AA90" s="14">
        <f>'Jan 2026'!F89</f>
        <v>0</v>
      </c>
    </row>
    <row r="91" spans="2:27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AA91" s="14">
        <f>'Jan 2026'!F90</f>
        <v>0</v>
      </c>
    </row>
    <row r="92" spans="2:27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AA92" s="14">
        <f>'Jan 2026'!F91</f>
        <v>0</v>
      </c>
    </row>
    <row r="93" spans="2:27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AA93" s="14">
        <f>'Jan 2026'!F92</f>
        <v>0</v>
      </c>
    </row>
    <row r="94" spans="2:27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AA94" s="14">
        <f>'Jan 2026'!F93</f>
        <v>0</v>
      </c>
    </row>
    <row r="95" spans="2:27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AA95" s="14">
        <f>'Jan 2026'!F94</f>
        <v>0</v>
      </c>
    </row>
    <row r="96" spans="2:27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AA96" s="14">
        <f>'Jan 2026'!F95</f>
        <v>0</v>
      </c>
    </row>
    <row r="97" spans="2:27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AA97" s="14">
        <f>'Jan 2026'!F96</f>
        <v>0</v>
      </c>
    </row>
    <row r="98" spans="2:27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AA98" s="14">
        <f>'Jan 2026'!F97</f>
        <v>0</v>
      </c>
    </row>
    <row r="99" spans="2:27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2:27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AA100" s="14">
        <f>'Feb 2026'!F2</f>
        <v>0</v>
      </c>
    </row>
    <row r="101" spans="2:27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AA101" s="14">
        <f>'Feb 2026'!F3</f>
        <v>0</v>
      </c>
    </row>
    <row r="102" spans="2:27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AA102" s="14">
        <f>'Feb 2026'!F4</f>
        <v>0</v>
      </c>
    </row>
    <row r="103" spans="2:27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AA103" s="14">
        <f>'Feb 2026'!F5</f>
        <v>0</v>
      </c>
    </row>
    <row r="104" spans="2:27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AA104" s="14">
        <f>'Feb 2026'!F6</f>
        <v>0</v>
      </c>
    </row>
    <row r="105" spans="2:27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AA105" s="14">
        <f>'Feb 2026'!F7</f>
        <v>0</v>
      </c>
    </row>
    <row r="106" spans="2:27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AA106" s="14">
        <f>'Feb 2026'!F8</f>
        <v>0</v>
      </c>
    </row>
    <row r="107" spans="2:27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AA107" s="14">
        <f>'Feb 2026'!F9</f>
        <v>0</v>
      </c>
    </row>
    <row r="108" spans="2:27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AA108" s="14">
        <f>'Feb 2026'!F10</f>
        <v>0</v>
      </c>
    </row>
    <row r="109" spans="2:27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AA109" s="14">
        <f>'Feb 2026'!F11</f>
        <v>0</v>
      </c>
    </row>
    <row r="110" spans="2:27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AA110" s="14">
        <f>'Feb 2026'!F12</f>
        <v>0</v>
      </c>
    </row>
    <row r="111" spans="2:27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AA111" s="14">
        <f>'Feb 2026'!F13</f>
        <v>0</v>
      </c>
    </row>
    <row r="112" spans="2:27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AA112" s="14">
        <f>'Feb 2026'!F14</f>
        <v>0</v>
      </c>
    </row>
    <row r="113" spans="2:27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AA113" s="14">
        <f>'Feb 2026'!F15</f>
        <v>0</v>
      </c>
    </row>
    <row r="114" spans="2:27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AA114" s="14">
        <f>'Feb 2026'!F16</f>
        <v>0</v>
      </c>
    </row>
    <row r="115" spans="2:27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AA115" s="14">
        <f>'Feb 2026'!F17</f>
        <v>0</v>
      </c>
    </row>
    <row r="116" spans="2:27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AA116" s="14">
        <f>'Feb 2026'!F18</f>
        <v>0</v>
      </c>
    </row>
    <row r="117" spans="2:27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AA117" s="14">
        <f>'Feb 2026'!F19</f>
        <v>0</v>
      </c>
    </row>
    <row r="118" spans="2:27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AA118" s="14">
        <f>'Feb 2026'!F20</f>
        <v>0</v>
      </c>
    </row>
    <row r="119" spans="2:27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AA119" s="14">
        <f>'Feb 2026'!F21</f>
        <v>0</v>
      </c>
    </row>
    <row r="120" spans="2:27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AA120" s="14">
        <f>'Feb 2026'!F22</f>
        <v>0</v>
      </c>
    </row>
    <row r="121" spans="2:27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AA121" s="14">
        <f>'Feb 2026'!F23</f>
        <v>0</v>
      </c>
    </row>
    <row r="122" spans="2:27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AA122" s="14">
        <f>'Feb 2026'!F24</f>
        <v>0</v>
      </c>
    </row>
    <row r="123" spans="2:27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AA123" s="14">
        <f>'Feb 2026'!F25</f>
        <v>0</v>
      </c>
    </row>
    <row r="124" spans="2:27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AA124" s="14">
        <f>'Feb 2026'!F26</f>
        <v>0</v>
      </c>
    </row>
    <row r="125" spans="2:27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AA125" s="14">
        <f>'Feb 2026'!F27</f>
        <v>0</v>
      </c>
    </row>
    <row r="126" spans="2:27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AA126" s="14">
        <f>'Feb 2026'!F28</f>
        <v>0</v>
      </c>
    </row>
    <row r="127" spans="2:27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AA127" s="14">
        <f>'Feb 2026'!F29</f>
        <v>0</v>
      </c>
    </row>
    <row r="128" spans="2:27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AA128" s="14">
        <f>'Feb 2026'!F30</f>
        <v>0</v>
      </c>
    </row>
    <row r="129" spans="2:27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AA129" s="14">
        <f>'Feb 2026'!F31</f>
        <v>0</v>
      </c>
    </row>
    <row r="130" spans="2:27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AA130" s="14">
        <f>'Feb 2026'!F32</f>
        <v>0</v>
      </c>
    </row>
    <row r="131" spans="2:27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AA131" s="14">
        <f>'Feb 2026'!F33</f>
        <v>0</v>
      </c>
    </row>
    <row r="132" spans="2:27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AA132" s="14">
        <f>'Feb 2026'!F34</f>
        <v>0</v>
      </c>
    </row>
    <row r="133" spans="2:27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AA133" s="14">
        <f>'Feb 2026'!F35</f>
        <v>0</v>
      </c>
    </row>
    <row r="134" spans="2:27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AA134" s="14">
        <f>'Feb 2026'!F36</f>
        <v>0</v>
      </c>
    </row>
    <row r="135" spans="2:27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AA135" s="14">
        <f>'Feb 2026'!F37</f>
        <v>0</v>
      </c>
    </row>
    <row r="136" spans="2:27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AA136" s="14">
        <f>'Feb 2026'!F38</f>
        <v>0</v>
      </c>
    </row>
    <row r="137" spans="2:27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AA137" s="14">
        <f>'Feb 2026'!F39</f>
        <v>0</v>
      </c>
    </row>
    <row r="138" spans="2:27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AA138" s="14">
        <f>'Feb 2026'!F40</f>
        <v>0</v>
      </c>
    </row>
    <row r="139" spans="2:27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AA139" s="14">
        <f>'Feb 2026'!F41</f>
        <v>0</v>
      </c>
    </row>
    <row r="140" spans="2:27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AA140" s="14">
        <f>'Feb 2026'!F42</f>
        <v>0</v>
      </c>
    </row>
    <row r="141" spans="2:27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AA141" s="14">
        <f>'Feb 2026'!F43</f>
        <v>0</v>
      </c>
    </row>
    <row r="142" spans="2:27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AA142" s="14">
        <f>'Feb 2026'!F44</f>
        <v>0</v>
      </c>
    </row>
    <row r="143" spans="2:27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AA143" s="14">
        <f>'Feb 2026'!F45</f>
        <v>0</v>
      </c>
    </row>
    <row r="144" spans="2:27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AA144" s="14">
        <f>'Feb 2026'!F46</f>
        <v>0</v>
      </c>
    </row>
    <row r="145" spans="2:27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AA145" s="14">
        <f>'Feb 2026'!F47</f>
        <v>0</v>
      </c>
    </row>
    <row r="146" spans="2:27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AA146" s="14">
        <f>'Feb 2026'!F48</f>
        <v>0</v>
      </c>
    </row>
    <row r="147" spans="2:27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AA147" s="14">
        <f>'Feb 2026'!F49</f>
        <v>0</v>
      </c>
    </row>
    <row r="148" spans="2:27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AA148" s="14">
        <f>'Feb 2026'!F50</f>
        <v>0</v>
      </c>
    </row>
    <row r="149" spans="2:27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AA149" s="14">
        <f>'Feb 2026'!F51</f>
        <v>0</v>
      </c>
    </row>
    <row r="150" spans="2:27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AA150" s="14">
        <f>'Feb 2026'!F52</f>
        <v>0</v>
      </c>
    </row>
    <row r="151" spans="2:27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AA151" s="14">
        <f>'Feb 2026'!F53</f>
        <v>0</v>
      </c>
    </row>
    <row r="152" spans="2:27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AA152" s="14">
        <f>'Feb 2026'!F54</f>
        <v>0</v>
      </c>
    </row>
    <row r="153" spans="2:27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AA153" s="14">
        <f>'Feb 2026'!F55</f>
        <v>0</v>
      </c>
    </row>
    <row r="154" spans="2:27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AA154" s="14">
        <f>'Feb 2026'!F56</f>
        <v>0</v>
      </c>
    </row>
    <row r="155" spans="2:27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AA155" s="14">
        <f>'Feb 2026'!F57</f>
        <v>0</v>
      </c>
    </row>
    <row r="156" spans="2:27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AA156" s="14">
        <f>'Feb 2026'!F58</f>
        <v>0</v>
      </c>
    </row>
    <row r="157" spans="2:27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AA157" s="14">
        <f>'Feb 2026'!F59</f>
        <v>0</v>
      </c>
    </row>
    <row r="158" spans="2:27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AA158" s="14">
        <f>'Feb 2026'!F60</f>
        <v>0</v>
      </c>
    </row>
    <row r="159" spans="2:27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AA159" s="14">
        <f>'Feb 2026'!F61</f>
        <v>0</v>
      </c>
    </row>
    <row r="160" spans="2:27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AA160" s="14">
        <f>'Feb 2026'!F62</f>
        <v>0</v>
      </c>
    </row>
    <row r="161" spans="2:27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AA161" s="14">
        <f>'Feb 2026'!F63</f>
        <v>0</v>
      </c>
    </row>
    <row r="162" spans="2:27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AA162" s="14">
        <f>'Feb 2026'!F64</f>
        <v>0</v>
      </c>
    </row>
    <row r="163" spans="2:27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AA163" s="14">
        <f>'Feb 2026'!F65</f>
        <v>0</v>
      </c>
    </row>
    <row r="164" spans="2:27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AA164" s="14">
        <f>'Feb 2026'!F66</f>
        <v>0</v>
      </c>
    </row>
    <row r="165" spans="2:27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AA165" s="14">
        <f>'Feb 2026'!F67</f>
        <v>0</v>
      </c>
    </row>
    <row r="166" spans="2:27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AA166" s="14">
        <f>'Feb 2026'!F68</f>
        <v>0</v>
      </c>
    </row>
    <row r="167" spans="2:27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AA167" s="14">
        <f>'Feb 2026'!F69</f>
        <v>0</v>
      </c>
    </row>
    <row r="168" spans="2:27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AA168" s="14">
        <f>'Feb 2026'!F70</f>
        <v>0</v>
      </c>
    </row>
    <row r="169" spans="2:27" x14ac:dyDescent="0.25">
      <c r="AA169" s="14">
        <f>'Feb 2026'!F71</f>
        <v>0</v>
      </c>
    </row>
    <row r="170" spans="2:27" x14ac:dyDescent="0.25">
      <c r="AA170" s="14">
        <f>'Feb 2026'!F72</f>
        <v>0</v>
      </c>
    </row>
    <row r="171" spans="2:27" x14ac:dyDescent="0.25">
      <c r="AA171" s="14">
        <f>'Feb 2026'!F73</f>
        <v>0</v>
      </c>
    </row>
    <row r="172" spans="2:27" x14ac:dyDescent="0.25">
      <c r="AA172" s="14">
        <f>'Feb 2026'!F74</f>
        <v>0</v>
      </c>
    </row>
    <row r="173" spans="2:27" x14ac:dyDescent="0.25">
      <c r="AA173" s="14">
        <f>'Feb 2026'!F75</f>
        <v>0</v>
      </c>
    </row>
    <row r="174" spans="2:27" x14ac:dyDescent="0.25">
      <c r="AA174" s="14">
        <f>'Feb 2026'!F76</f>
        <v>0</v>
      </c>
    </row>
    <row r="175" spans="2:27" x14ac:dyDescent="0.25">
      <c r="AA175" s="14">
        <f>'Feb 2026'!F77</f>
        <v>0</v>
      </c>
    </row>
    <row r="176" spans="2:27" x14ac:dyDescent="0.25">
      <c r="AA176" s="14">
        <f>'Feb 2026'!F78</f>
        <v>0</v>
      </c>
    </row>
    <row r="177" spans="27:27" x14ac:dyDescent="0.25">
      <c r="AA177" s="14">
        <f>'Feb 2026'!F79</f>
        <v>0</v>
      </c>
    </row>
    <row r="178" spans="27:27" x14ac:dyDescent="0.25">
      <c r="AA178" s="14">
        <f>'Feb 2026'!F80</f>
        <v>0</v>
      </c>
    </row>
    <row r="179" spans="27:27" x14ac:dyDescent="0.25">
      <c r="AA179" s="14">
        <f>'Feb 2026'!F81</f>
        <v>0</v>
      </c>
    </row>
    <row r="180" spans="27:27" x14ac:dyDescent="0.25">
      <c r="AA180" s="14">
        <f>'Feb 2026'!F82</f>
        <v>0</v>
      </c>
    </row>
    <row r="181" spans="27:27" x14ac:dyDescent="0.25">
      <c r="AA181" s="14">
        <f>'Feb 2026'!F83</f>
        <v>0</v>
      </c>
    </row>
    <row r="182" spans="27:27" x14ac:dyDescent="0.25">
      <c r="AA182" s="14">
        <f>'Feb 2026'!F84</f>
        <v>0</v>
      </c>
    </row>
    <row r="183" spans="27:27" x14ac:dyDescent="0.25">
      <c r="AA183" s="14">
        <f>'Feb 2026'!F85</f>
        <v>0</v>
      </c>
    </row>
    <row r="184" spans="27:27" x14ac:dyDescent="0.25">
      <c r="AA184" s="14">
        <f>'Feb 2026'!F86</f>
        <v>0</v>
      </c>
    </row>
    <row r="185" spans="27:27" x14ac:dyDescent="0.25">
      <c r="AA185" s="14">
        <f>'Feb 2026'!F87</f>
        <v>0</v>
      </c>
    </row>
    <row r="186" spans="27:27" x14ac:dyDescent="0.25">
      <c r="AA186" s="14">
        <f>'Feb 2026'!F88</f>
        <v>0</v>
      </c>
    </row>
    <row r="187" spans="27:27" x14ac:dyDescent="0.25">
      <c r="AA187" s="14">
        <f>'Feb 2026'!F89</f>
        <v>0</v>
      </c>
    </row>
    <row r="188" spans="27:27" x14ac:dyDescent="0.25">
      <c r="AA188" s="14">
        <f>'Feb 2026'!F90</f>
        <v>0</v>
      </c>
    </row>
    <row r="189" spans="27:27" x14ac:dyDescent="0.25">
      <c r="AA189" s="14">
        <f>'Feb 2026'!F91</f>
        <v>0</v>
      </c>
    </row>
    <row r="190" spans="27:27" x14ac:dyDescent="0.25">
      <c r="AA190" s="14">
        <f>'Feb 2026'!F92</f>
        <v>0</v>
      </c>
    </row>
    <row r="191" spans="27:27" x14ac:dyDescent="0.25">
      <c r="AA191" s="14">
        <f>'Feb 2026'!F93</f>
        <v>0</v>
      </c>
    </row>
    <row r="192" spans="27:27" x14ac:dyDescent="0.25">
      <c r="AA192" s="14">
        <f>'Feb 2026'!F94</f>
        <v>0</v>
      </c>
    </row>
    <row r="193" spans="27:27" x14ac:dyDescent="0.25">
      <c r="AA193" s="14">
        <f>'Feb 2026'!F95</f>
        <v>0</v>
      </c>
    </row>
    <row r="194" spans="27:27" x14ac:dyDescent="0.25">
      <c r="AA194" s="14">
        <f>'Feb 2026'!F96</f>
        <v>0</v>
      </c>
    </row>
    <row r="195" spans="27:27" x14ac:dyDescent="0.25">
      <c r="AA195" s="14">
        <f>'Feb 2026'!F97</f>
        <v>0</v>
      </c>
    </row>
    <row r="196" spans="27:27" x14ac:dyDescent="0.25">
      <c r="AA196" s="14">
        <f>'Feb 2026'!F98</f>
        <v>0</v>
      </c>
    </row>
    <row r="197" spans="27:27" x14ac:dyDescent="0.25">
      <c r="AA197" s="14">
        <f>'Feb 2026'!F99</f>
        <v>0</v>
      </c>
    </row>
    <row r="198" spans="27:27" x14ac:dyDescent="0.25">
      <c r="AA198" s="14">
        <f>'Feb 2026'!F100</f>
        <v>0</v>
      </c>
    </row>
    <row r="200" spans="27:27" x14ac:dyDescent="0.25">
      <c r="AA200" s="14">
        <f>'Mar 2026'!F2</f>
        <v>0</v>
      </c>
    </row>
    <row r="201" spans="27:27" x14ac:dyDescent="0.25">
      <c r="AA201" s="14">
        <f>'Mar 2026'!F3</f>
        <v>0</v>
      </c>
    </row>
    <row r="202" spans="27:27" x14ac:dyDescent="0.25">
      <c r="AA202" s="14">
        <f>'Mar 2026'!F4</f>
        <v>0</v>
      </c>
    </row>
    <row r="203" spans="27:27" x14ac:dyDescent="0.25">
      <c r="AA203" s="14">
        <f>'Mar 2026'!F5</f>
        <v>0</v>
      </c>
    </row>
    <row r="204" spans="27:27" x14ac:dyDescent="0.25">
      <c r="AA204" s="14">
        <f>'Mar 2026'!F6</f>
        <v>0</v>
      </c>
    </row>
    <row r="205" spans="27:27" x14ac:dyDescent="0.25">
      <c r="AA205" s="14">
        <f>'Mar 2026'!F7</f>
        <v>0</v>
      </c>
    </row>
    <row r="206" spans="27:27" x14ac:dyDescent="0.25">
      <c r="AA206" s="14">
        <f>'Mar 2026'!F8</f>
        <v>0</v>
      </c>
    </row>
    <row r="207" spans="27:27" x14ac:dyDescent="0.25">
      <c r="AA207" s="14">
        <f>'Mar 2026'!F9</f>
        <v>0</v>
      </c>
    </row>
    <row r="208" spans="27:27" x14ac:dyDescent="0.25">
      <c r="AA208" s="14">
        <f>'Mar 2026'!F10</f>
        <v>0</v>
      </c>
    </row>
    <row r="209" spans="27:27" x14ac:dyDescent="0.25">
      <c r="AA209" s="14">
        <f>'Mar 2026'!F11</f>
        <v>0</v>
      </c>
    </row>
    <row r="210" spans="27:27" x14ac:dyDescent="0.25">
      <c r="AA210" s="14">
        <f>'Mar 2026'!F12</f>
        <v>0</v>
      </c>
    </row>
    <row r="211" spans="27:27" x14ac:dyDescent="0.25">
      <c r="AA211" s="14">
        <f>'Mar 2026'!F13</f>
        <v>0</v>
      </c>
    </row>
    <row r="212" spans="27:27" x14ac:dyDescent="0.25">
      <c r="AA212" s="14">
        <f>'Mar 2026'!F14</f>
        <v>0</v>
      </c>
    </row>
    <row r="213" spans="27:27" x14ac:dyDescent="0.25">
      <c r="AA213" s="14">
        <f>'Mar 2026'!F15</f>
        <v>0</v>
      </c>
    </row>
    <row r="214" spans="27:27" x14ac:dyDescent="0.25">
      <c r="AA214" s="14">
        <f>'Mar 2026'!F16</f>
        <v>0</v>
      </c>
    </row>
    <row r="215" spans="27:27" x14ac:dyDescent="0.25">
      <c r="AA215" s="14">
        <f>'Mar 2026'!F17</f>
        <v>0</v>
      </c>
    </row>
    <row r="216" spans="27:27" x14ac:dyDescent="0.25">
      <c r="AA216" s="14">
        <f>'Mar 2026'!F18</f>
        <v>0</v>
      </c>
    </row>
    <row r="217" spans="27:27" x14ac:dyDescent="0.25">
      <c r="AA217" s="14">
        <f>'Mar 2026'!F19</f>
        <v>0</v>
      </c>
    </row>
    <row r="218" spans="27:27" x14ac:dyDescent="0.25">
      <c r="AA218" s="14">
        <f>'Mar 2026'!F20</f>
        <v>0</v>
      </c>
    </row>
    <row r="219" spans="27:27" x14ac:dyDescent="0.25">
      <c r="AA219" s="14">
        <f>'Mar 2026'!F21</f>
        <v>0</v>
      </c>
    </row>
    <row r="220" spans="27:27" x14ac:dyDescent="0.25">
      <c r="AA220" s="14">
        <f>'Mar 2026'!F22</f>
        <v>0</v>
      </c>
    </row>
    <row r="221" spans="27:27" x14ac:dyDescent="0.25">
      <c r="AA221" s="14">
        <f>'Mar 2026'!F23</f>
        <v>0</v>
      </c>
    </row>
    <row r="222" spans="27:27" x14ac:dyDescent="0.25">
      <c r="AA222" s="14">
        <f>'Mar 2026'!F24</f>
        <v>0</v>
      </c>
    </row>
    <row r="223" spans="27:27" x14ac:dyDescent="0.25">
      <c r="AA223" s="14">
        <f>'Mar 2026'!F25</f>
        <v>0</v>
      </c>
    </row>
    <row r="224" spans="27:27" x14ac:dyDescent="0.25">
      <c r="AA224" s="14">
        <f>'Mar 2026'!F26</f>
        <v>0</v>
      </c>
    </row>
    <row r="225" spans="27:27" x14ac:dyDescent="0.25">
      <c r="AA225" s="14">
        <f>'Mar 2026'!F27</f>
        <v>0</v>
      </c>
    </row>
    <row r="226" spans="27:27" x14ac:dyDescent="0.25">
      <c r="AA226" s="14">
        <f>'Mar 2026'!F28</f>
        <v>0</v>
      </c>
    </row>
    <row r="227" spans="27:27" x14ac:dyDescent="0.25">
      <c r="AA227" s="14">
        <f>'Mar 2026'!F29</f>
        <v>0</v>
      </c>
    </row>
    <row r="228" spans="27:27" x14ac:dyDescent="0.25">
      <c r="AA228" s="14">
        <f>'Mar 2026'!F30</f>
        <v>0</v>
      </c>
    </row>
    <row r="229" spans="27:27" x14ac:dyDescent="0.25">
      <c r="AA229" s="14">
        <f>'Mar 2026'!F31</f>
        <v>0</v>
      </c>
    </row>
    <row r="230" spans="27:27" x14ac:dyDescent="0.25">
      <c r="AA230" s="14">
        <f>'Mar 2026'!F32</f>
        <v>0</v>
      </c>
    </row>
    <row r="231" spans="27:27" x14ac:dyDescent="0.25">
      <c r="AA231" s="14">
        <f>'Mar 2026'!F33</f>
        <v>0</v>
      </c>
    </row>
    <row r="232" spans="27:27" x14ac:dyDescent="0.25">
      <c r="AA232" s="14">
        <f>'Mar 2026'!F34</f>
        <v>0</v>
      </c>
    </row>
    <row r="233" spans="27:27" x14ac:dyDescent="0.25">
      <c r="AA233" s="14">
        <f>'Mar 2026'!F35</f>
        <v>0</v>
      </c>
    </row>
    <row r="234" spans="27:27" x14ac:dyDescent="0.25">
      <c r="AA234" s="14">
        <f>'Mar 2026'!F36</f>
        <v>0</v>
      </c>
    </row>
    <row r="235" spans="27:27" x14ac:dyDescent="0.25">
      <c r="AA235" s="14">
        <f>'Mar 2026'!F37</f>
        <v>0</v>
      </c>
    </row>
    <row r="236" spans="27:27" x14ac:dyDescent="0.25">
      <c r="AA236" s="14">
        <f>'Mar 2026'!F38</f>
        <v>0</v>
      </c>
    </row>
    <row r="237" spans="27:27" x14ac:dyDescent="0.25">
      <c r="AA237" s="14">
        <f>'Mar 2026'!F39</f>
        <v>0</v>
      </c>
    </row>
    <row r="238" spans="27:27" x14ac:dyDescent="0.25">
      <c r="AA238" s="14">
        <f>'Mar 2026'!F40</f>
        <v>0</v>
      </c>
    </row>
    <row r="239" spans="27:27" x14ac:dyDescent="0.25">
      <c r="AA239" s="14">
        <f>'Mar 2026'!F41</f>
        <v>0</v>
      </c>
    </row>
    <row r="240" spans="27:27" x14ac:dyDescent="0.25">
      <c r="AA240" s="14">
        <f>'Mar 2026'!F42</f>
        <v>0</v>
      </c>
    </row>
    <row r="241" spans="27:27" x14ac:dyDescent="0.25">
      <c r="AA241" s="14">
        <f>'Mar 2026'!F43</f>
        <v>0</v>
      </c>
    </row>
    <row r="242" spans="27:27" x14ac:dyDescent="0.25">
      <c r="AA242" s="14">
        <f>'Mar 2026'!F44</f>
        <v>0</v>
      </c>
    </row>
    <row r="243" spans="27:27" x14ac:dyDescent="0.25">
      <c r="AA243" s="14">
        <f>'Mar 2026'!F45</f>
        <v>0</v>
      </c>
    </row>
    <row r="244" spans="27:27" x14ac:dyDescent="0.25">
      <c r="AA244" s="14">
        <f>'Mar 2026'!F46</f>
        <v>0</v>
      </c>
    </row>
    <row r="245" spans="27:27" x14ac:dyDescent="0.25">
      <c r="AA245" s="14">
        <f>'Mar 2026'!F47</f>
        <v>0</v>
      </c>
    </row>
    <row r="246" spans="27:27" x14ac:dyDescent="0.25">
      <c r="AA246" s="14">
        <f>'Mar 2026'!F48</f>
        <v>0</v>
      </c>
    </row>
    <row r="247" spans="27:27" x14ac:dyDescent="0.25">
      <c r="AA247" s="14">
        <f>'Mar 2026'!F49</f>
        <v>0</v>
      </c>
    </row>
    <row r="248" spans="27:27" x14ac:dyDescent="0.25">
      <c r="AA248" s="14">
        <f>'Mar 2026'!F50</f>
        <v>0</v>
      </c>
    </row>
    <row r="249" spans="27:27" x14ac:dyDescent="0.25">
      <c r="AA249" s="14">
        <f>'Mar 2026'!F51</f>
        <v>0</v>
      </c>
    </row>
    <row r="250" spans="27:27" x14ac:dyDescent="0.25">
      <c r="AA250" s="14">
        <f>'Mar 2026'!F52</f>
        <v>0</v>
      </c>
    </row>
    <row r="251" spans="27:27" x14ac:dyDescent="0.25">
      <c r="AA251" s="14">
        <f>'Mar 2026'!F53</f>
        <v>0</v>
      </c>
    </row>
    <row r="252" spans="27:27" x14ac:dyDescent="0.25">
      <c r="AA252" s="14">
        <f>'Mar 2026'!F54</f>
        <v>0</v>
      </c>
    </row>
    <row r="253" spans="27:27" x14ac:dyDescent="0.25">
      <c r="AA253" s="14">
        <f>'Mar 2026'!F55</f>
        <v>0</v>
      </c>
    </row>
    <row r="254" spans="27:27" x14ac:dyDescent="0.25">
      <c r="AA254" s="14">
        <f>'Mar 2026'!F56</f>
        <v>0</v>
      </c>
    </row>
    <row r="255" spans="27:27" x14ac:dyDescent="0.25">
      <c r="AA255" s="14">
        <f>'Mar 2026'!F57</f>
        <v>0</v>
      </c>
    </row>
    <row r="256" spans="27:27" x14ac:dyDescent="0.25">
      <c r="AA256" s="14">
        <f>'Mar 2026'!F58</f>
        <v>0</v>
      </c>
    </row>
    <row r="257" spans="27:27" x14ac:dyDescent="0.25">
      <c r="AA257" s="14">
        <f>'Mar 2026'!F59</f>
        <v>0</v>
      </c>
    </row>
    <row r="258" spans="27:27" x14ac:dyDescent="0.25">
      <c r="AA258" s="14">
        <f>'Mar 2026'!F60</f>
        <v>0</v>
      </c>
    </row>
    <row r="259" spans="27:27" x14ac:dyDescent="0.25">
      <c r="AA259" s="14">
        <f>'Mar 2026'!F61</f>
        <v>0</v>
      </c>
    </row>
    <row r="260" spans="27:27" x14ac:dyDescent="0.25">
      <c r="AA260" s="14">
        <f>'Mar 2026'!F62</f>
        <v>0</v>
      </c>
    </row>
    <row r="261" spans="27:27" x14ac:dyDescent="0.25">
      <c r="AA261" s="14">
        <f>'Mar 2026'!F63</f>
        <v>0</v>
      </c>
    </row>
    <row r="262" spans="27:27" x14ac:dyDescent="0.25">
      <c r="AA262" s="14">
        <f>'Mar 2026'!F64</f>
        <v>0</v>
      </c>
    </row>
    <row r="263" spans="27:27" x14ac:dyDescent="0.25">
      <c r="AA263" s="14">
        <f>'Mar 2026'!F65</f>
        <v>0</v>
      </c>
    </row>
    <row r="264" spans="27:27" x14ac:dyDescent="0.25">
      <c r="AA264" s="14">
        <f>'Mar 2026'!F66</f>
        <v>0</v>
      </c>
    </row>
    <row r="265" spans="27:27" x14ac:dyDescent="0.25">
      <c r="AA265" s="14">
        <f>'Mar 2026'!F67</f>
        <v>0</v>
      </c>
    </row>
    <row r="266" spans="27:27" x14ac:dyDescent="0.25">
      <c r="AA266" s="14">
        <f>'Mar 2026'!F68</f>
        <v>0</v>
      </c>
    </row>
    <row r="267" spans="27:27" x14ac:dyDescent="0.25">
      <c r="AA267" s="14">
        <f>'Mar 2026'!F69</f>
        <v>0</v>
      </c>
    </row>
    <row r="268" spans="27:27" x14ac:dyDescent="0.25">
      <c r="AA268" s="14">
        <f>'Mar 2026'!F70</f>
        <v>0</v>
      </c>
    </row>
    <row r="269" spans="27:27" x14ac:dyDescent="0.25">
      <c r="AA269" s="14">
        <f>'Mar 2026'!F71</f>
        <v>0</v>
      </c>
    </row>
    <row r="270" spans="27:27" x14ac:dyDescent="0.25">
      <c r="AA270" s="14">
        <f>'Mar 2026'!F72</f>
        <v>0</v>
      </c>
    </row>
    <row r="271" spans="27:27" x14ac:dyDescent="0.25">
      <c r="AA271" s="14">
        <f>'Mar 2026'!F73</f>
        <v>0</v>
      </c>
    </row>
    <row r="272" spans="27:27" x14ac:dyDescent="0.25">
      <c r="AA272" s="14">
        <f>'Mar 2026'!F74</f>
        <v>0</v>
      </c>
    </row>
    <row r="273" spans="27:27" x14ac:dyDescent="0.25">
      <c r="AA273" s="14">
        <f>'Mar 2026'!F75</f>
        <v>0</v>
      </c>
    </row>
    <row r="274" spans="27:27" x14ac:dyDescent="0.25">
      <c r="AA274" s="14">
        <f>'Mar 2026'!F76</f>
        <v>0</v>
      </c>
    </row>
    <row r="275" spans="27:27" x14ac:dyDescent="0.25">
      <c r="AA275" s="14">
        <f>'Mar 2026'!F77</f>
        <v>0</v>
      </c>
    </row>
    <row r="276" spans="27:27" x14ac:dyDescent="0.25">
      <c r="AA276" s="14">
        <f>'Mar 2026'!F78</f>
        <v>0</v>
      </c>
    </row>
    <row r="277" spans="27:27" x14ac:dyDescent="0.25">
      <c r="AA277" s="14">
        <f>'Mar 2026'!F79</f>
        <v>0</v>
      </c>
    </row>
    <row r="278" spans="27:27" x14ac:dyDescent="0.25">
      <c r="AA278" s="14">
        <f>'Mar 2026'!F80</f>
        <v>0</v>
      </c>
    </row>
    <row r="279" spans="27:27" x14ac:dyDescent="0.25">
      <c r="AA279" s="14">
        <f>'Mar 2026'!F81</f>
        <v>0</v>
      </c>
    </row>
    <row r="280" spans="27:27" x14ac:dyDescent="0.25">
      <c r="AA280" s="14">
        <f>'Mar 2026'!F82</f>
        <v>0</v>
      </c>
    </row>
    <row r="281" spans="27:27" x14ac:dyDescent="0.25">
      <c r="AA281" s="14">
        <f>'Mar 2026'!F83</f>
        <v>0</v>
      </c>
    </row>
    <row r="282" spans="27:27" x14ac:dyDescent="0.25">
      <c r="AA282" s="14">
        <f>'Mar 2026'!F84</f>
        <v>0</v>
      </c>
    </row>
    <row r="283" spans="27:27" x14ac:dyDescent="0.25">
      <c r="AA283" s="14">
        <f>'Mar 2026'!F85</f>
        <v>0</v>
      </c>
    </row>
    <row r="284" spans="27:27" x14ac:dyDescent="0.25">
      <c r="AA284" s="14">
        <f>'Mar 2026'!F86</f>
        <v>0</v>
      </c>
    </row>
    <row r="285" spans="27:27" x14ac:dyDescent="0.25">
      <c r="AA285" s="14">
        <f>'Mar 2026'!F87</f>
        <v>0</v>
      </c>
    </row>
    <row r="286" spans="27:27" x14ac:dyDescent="0.25">
      <c r="AA286" s="14">
        <f>'Mar 2026'!F88</f>
        <v>0</v>
      </c>
    </row>
    <row r="287" spans="27:27" x14ac:dyDescent="0.25">
      <c r="AA287" s="14">
        <f>'Mar 2026'!F89</f>
        <v>0</v>
      </c>
    </row>
    <row r="288" spans="27:27" x14ac:dyDescent="0.25">
      <c r="AA288" s="14">
        <f>'Mar 2026'!F90</f>
        <v>0</v>
      </c>
    </row>
    <row r="289" spans="27:27" x14ac:dyDescent="0.25">
      <c r="AA289" s="14">
        <f>'Mar 2026'!F91</f>
        <v>0</v>
      </c>
    </row>
    <row r="290" spans="27:27" x14ac:dyDescent="0.25">
      <c r="AA290" s="14">
        <f>'Mar 2026'!F92</f>
        <v>0</v>
      </c>
    </row>
    <row r="291" spans="27:27" x14ac:dyDescent="0.25">
      <c r="AA291" s="14">
        <f>'Mar 2026'!F93</f>
        <v>0</v>
      </c>
    </row>
    <row r="292" spans="27:27" x14ac:dyDescent="0.25">
      <c r="AA292" s="14">
        <f>'Mar 2026'!F94</f>
        <v>0</v>
      </c>
    </row>
    <row r="293" spans="27:27" x14ac:dyDescent="0.25">
      <c r="AA293" s="14">
        <f>'Mar 2026'!F95</f>
        <v>0</v>
      </c>
    </row>
    <row r="294" spans="27:27" x14ac:dyDescent="0.25">
      <c r="AA294" s="14">
        <f>'Mar 2026'!F96</f>
        <v>0</v>
      </c>
    </row>
    <row r="295" spans="27:27" x14ac:dyDescent="0.25">
      <c r="AA295" s="14">
        <f>'Mar 2026'!F97</f>
        <v>0</v>
      </c>
    </row>
    <row r="296" spans="27:27" x14ac:dyDescent="0.25">
      <c r="AA296" s="14">
        <f>'Mar 2026'!F98</f>
        <v>0</v>
      </c>
    </row>
    <row r="297" spans="27:27" x14ac:dyDescent="0.25">
      <c r="AA297" s="14">
        <f>'Mar 2026'!F99</f>
        <v>0</v>
      </c>
    </row>
    <row r="298" spans="27:27" x14ac:dyDescent="0.25">
      <c r="AA298" s="14">
        <f>'Mar 2026'!F100</f>
        <v>0</v>
      </c>
    </row>
    <row r="300" spans="27:27" x14ac:dyDescent="0.25">
      <c r="AA300" s="14">
        <f>'Apr 2026'!F2</f>
        <v>0</v>
      </c>
    </row>
    <row r="301" spans="27:27" x14ac:dyDescent="0.25">
      <c r="AA301" s="14">
        <f>'Apr 2026'!F3</f>
        <v>0</v>
      </c>
    </row>
    <row r="302" spans="27:27" x14ac:dyDescent="0.25">
      <c r="AA302" s="14">
        <f>'Apr 2026'!F4</f>
        <v>0</v>
      </c>
    </row>
    <row r="303" spans="27:27" x14ac:dyDescent="0.25">
      <c r="AA303" s="14">
        <f>'Apr 2026'!F5</f>
        <v>0</v>
      </c>
    </row>
    <row r="304" spans="27:27" x14ac:dyDescent="0.25">
      <c r="AA304" s="14">
        <f>'Apr 2026'!F6</f>
        <v>0</v>
      </c>
    </row>
    <row r="305" spans="27:27" x14ac:dyDescent="0.25">
      <c r="AA305" s="14">
        <f>'Apr 2026'!F7</f>
        <v>0</v>
      </c>
    </row>
    <row r="306" spans="27:27" x14ac:dyDescent="0.25">
      <c r="AA306" s="14">
        <f>'Apr 2026'!F8</f>
        <v>0</v>
      </c>
    </row>
    <row r="307" spans="27:27" x14ac:dyDescent="0.25">
      <c r="AA307" s="14">
        <f>'Apr 2026'!F9</f>
        <v>0</v>
      </c>
    </row>
    <row r="308" spans="27:27" x14ac:dyDescent="0.25">
      <c r="AA308" s="14">
        <f>'Apr 2026'!F10</f>
        <v>0</v>
      </c>
    </row>
    <row r="309" spans="27:27" x14ac:dyDescent="0.25">
      <c r="AA309" s="14">
        <f>'Apr 2026'!F11</f>
        <v>0</v>
      </c>
    </row>
    <row r="310" spans="27:27" x14ac:dyDescent="0.25">
      <c r="AA310" s="14">
        <f>'Apr 2026'!F12</f>
        <v>0</v>
      </c>
    </row>
    <row r="311" spans="27:27" x14ac:dyDescent="0.25">
      <c r="AA311" s="14">
        <f>'Apr 2026'!F13</f>
        <v>0</v>
      </c>
    </row>
    <row r="312" spans="27:27" x14ac:dyDescent="0.25">
      <c r="AA312" s="14">
        <f>'Apr 2026'!F14</f>
        <v>0</v>
      </c>
    </row>
    <row r="313" spans="27:27" x14ac:dyDescent="0.25">
      <c r="AA313" s="14">
        <f>'Apr 2026'!F15</f>
        <v>0</v>
      </c>
    </row>
    <row r="314" spans="27:27" x14ac:dyDescent="0.25">
      <c r="AA314" s="14">
        <f>'Apr 2026'!F16</f>
        <v>0</v>
      </c>
    </row>
    <row r="315" spans="27:27" x14ac:dyDescent="0.25">
      <c r="AA315" s="14">
        <f>'Apr 2026'!F17</f>
        <v>0</v>
      </c>
    </row>
    <row r="316" spans="27:27" x14ac:dyDescent="0.25">
      <c r="AA316" s="14">
        <f>'Apr 2026'!F18</f>
        <v>0</v>
      </c>
    </row>
    <row r="317" spans="27:27" x14ac:dyDescent="0.25">
      <c r="AA317" s="14">
        <f>'Apr 2026'!F19</f>
        <v>0</v>
      </c>
    </row>
    <row r="318" spans="27:27" x14ac:dyDescent="0.25">
      <c r="AA318" s="14">
        <f>'Apr 2026'!F20</f>
        <v>0</v>
      </c>
    </row>
    <row r="319" spans="27:27" x14ac:dyDescent="0.25">
      <c r="AA319" s="14">
        <f>'Apr 2026'!F21</f>
        <v>0</v>
      </c>
    </row>
    <row r="320" spans="27:27" x14ac:dyDescent="0.25">
      <c r="AA320" s="14">
        <f>'Apr 2026'!F22</f>
        <v>0</v>
      </c>
    </row>
    <row r="321" spans="27:27" x14ac:dyDescent="0.25">
      <c r="AA321" s="14">
        <f>'Apr 2026'!F23</f>
        <v>0</v>
      </c>
    </row>
    <row r="322" spans="27:27" x14ac:dyDescent="0.25">
      <c r="AA322" s="14">
        <f>'Apr 2026'!F24</f>
        <v>0</v>
      </c>
    </row>
    <row r="323" spans="27:27" x14ac:dyDescent="0.25">
      <c r="AA323" s="14">
        <f>'Apr 2026'!F25</f>
        <v>0</v>
      </c>
    </row>
    <row r="324" spans="27:27" x14ac:dyDescent="0.25">
      <c r="AA324" s="14">
        <f>'Apr 2026'!F26</f>
        <v>0</v>
      </c>
    </row>
    <row r="325" spans="27:27" x14ac:dyDescent="0.25">
      <c r="AA325" s="14">
        <f>'Apr 2026'!F27</f>
        <v>0</v>
      </c>
    </row>
    <row r="326" spans="27:27" x14ac:dyDescent="0.25">
      <c r="AA326" s="14">
        <f>'Apr 2026'!F28</f>
        <v>0</v>
      </c>
    </row>
    <row r="327" spans="27:27" x14ac:dyDescent="0.25">
      <c r="AA327" s="14">
        <f>'Apr 2026'!F29</f>
        <v>0</v>
      </c>
    </row>
    <row r="328" spans="27:27" x14ac:dyDescent="0.25">
      <c r="AA328" s="14">
        <f>'Apr 2026'!F30</f>
        <v>0</v>
      </c>
    </row>
    <row r="329" spans="27:27" x14ac:dyDescent="0.25">
      <c r="AA329" s="14">
        <f>'Apr 2026'!F31</f>
        <v>0</v>
      </c>
    </row>
    <row r="330" spans="27:27" x14ac:dyDescent="0.25">
      <c r="AA330" s="14">
        <f>'Apr 2026'!F32</f>
        <v>0</v>
      </c>
    </row>
    <row r="331" spans="27:27" x14ac:dyDescent="0.25">
      <c r="AA331" s="14">
        <f>'Apr 2026'!F33</f>
        <v>0</v>
      </c>
    </row>
    <row r="332" spans="27:27" x14ac:dyDescent="0.25">
      <c r="AA332" s="14">
        <f>'Apr 2026'!F34</f>
        <v>0</v>
      </c>
    </row>
    <row r="333" spans="27:27" x14ac:dyDescent="0.25">
      <c r="AA333" s="14">
        <f>'Apr 2026'!F35</f>
        <v>0</v>
      </c>
    </row>
    <row r="334" spans="27:27" x14ac:dyDescent="0.25">
      <c r="AA334" s="14">
        <f>'Apr 2026'!F36</f>
        <v>0</v>
      </c>
    </row>
    <row r="335" spans="27:27" x14ac:dyDescent="0.25">
      <c r="AA335" s="14">
        <f>'Apr 2026'!F37</f>
        <v>0</v>
      </c>
    </row>
    <row r="336" spans="27:27" x14ac:dyDescent="0.25">
      <c r="AA336" s="14">
        <f>'Apr 2026'!F38</f>
        <v>0</v>
      </c>
    </row>
    <row r="337" spans="27:27" x14ac:dyDescent="0.25">
      <c r="AA337" s="14">
        <f>'Apr 2026'!F39</f>
        <v>0</v>
      </c>
    </row>
    <row r="338" spans="27:27" x14ac:dyDescent="0.25">
      <c r="AA338" s="14">
        <f>'Apr 2026'!F40</f>
        <v>0</v>
      </c>
    </row>
    <row r="339" spans="27:27" x14ac:dyDescent="0.25">
      <c r="AA339" s="14">
        <f>'Apr 2026'!F41</f>
        <v>0</v>
      </c>
    </row>
    <row r="340" spans="27:27" x14ac:dyDescent="0.25">
      <c r="AA340" s="14">
        <f>'Apr 2026'!F42</f>
        <v>0</v>
      </c>
    </row>
    <row r="341" spans="27:27" x14ac:dyDescent="0.25">
      <c r="AA341" s="14">
        <f>'Apr 2026'!F43</f>
        <v>0</v>
      </c>
    </row>
    <row r="342" spans="27:27" x14ac:dyDescent="0.25">
      <c r="AA342" s="14">
        <f>'Apr 2026'!F44</f>
        <v>0</v>
      </c>
    </row>
    <row r="343" spans="27:27" x14ac:dyDescent="0.25">
      <c r="AA343" s="14">
        <f>'Apr 2026'!F45</f>
        <v>0</v>
      </c>
    </row>
    <row r="344" spans="27:27" x14ac:dyDescent="0.25">
      <c r="AA344" s="14">
        <f>'Apr 2026'!F46</f>
        <v>0</v>
      </c>
    </row>
    <row r="345" spans="27:27" x14ac:dyDescent="0.25">
      <c r="AA345" s="14">
        <f>'Apr 2026'!F47</f>
        <v>0</v>
      </c>
    </row>
    <row r="346" spans="27:27" x14ac:dyDescent="0.25">
      <c r="AA346" s="14">
        <f>'Apr 2026'!F48</f>
        <v>0</v>
      </c>
    </row>
    <row r="347" spans="27:27" x14ac:dyDescent="0.25">
      <c r="AA347" s="14">
        <f>'Apr 2026'!F49</f>
        <v>0</v>
      </c>
    </row>
    <row r="348" spans="27:27" x14ac:dyDescent="0.25">
      <c r="AA348" s="14">
        <f>'Apr 2026'!F50</f>
        <v>0</v>
      </c>
    </row>
    <row r="349" spans="27:27" x14ac:dyDescent="0.25">
      <c r="AA349" s="14">
        <f>'Apr 2026'!F51</f>
        <v>0</v>
      </c>
    </row>
    <row r="350" spans="27:27" x14ac:dyDescent="0.25">
      <c r="AA350" s="14">
        <f>'Apr 2026'!F52</f>
        <v>0</v>
      </c>
    </row>
    <row r="351" spans="27:27" x14ac:dyDescent="0.25">
      <c r="AA351" s="14">
        <f>'Apr 2026'!F53</f>
        <v>0</v>
      </c>
    </row>
    <row r="352" spans="27:27" x14ac:dyDescent="0.25">
      <c r="AA352" s="14">
        <f>'Apr 2026'!F54</f>
        <v>0</v>
      </c>
    </row>
    <row r="353" spans="27:27" x14ac:dyDescent="0.25">
      <c r="AA353" s="14">
        <f>'Apr 2026'!F55</f>
        <v>0</v>
      </c>
    </row>
    <row r="354" spans="27:27" x14ac:dyDescent="0.25">
      <c r="AA354" s="14">
        <f>'Apr 2026'!F56</f>
        <v>0</v>
      </c>
    </row>
    <row r="355" spans="27:27" x14ac:dyDescent="0.25">
      <c r="AA355" s="14">
        <f>'Apr 2026'!F57</f>
        <v>0</v>
      </c>
    </row>
    <row r="356" spans="27:27" x14ac:dyDescent="0.25">
      <c r="AA356" s="14">
        <f>'Apr 2026'!F58</f>
        <v>0</v>
      </c>
    </row>
    <row r="357" spans="27:27" x14ac:dyDescent="0.25">
      <c r="AA357" s="14">
        <f>'Apr 2026'!F59</f>
        <v>0</v>
      </c>
    </row>
    <row r="358" spans="27:27" x14ac:dyDescent="0.25">
      <c r="AA358" s="14">
        <f>'Apr 2026'!F60</f>
        <v>0</v>
      </c>
    </row>
    <row r="359" spans="27:27" x14ac:dyDescent="0.25">
      <c r="AA359" s="14">
        <f>'Apr 2026'!F61</f>
        <v>0</v>
      </c>
    </row>
    <row r="360" spans="27:27" x14ac:dyDescent="0.25">
      <c r="AA360" s="14">
        <f>'Apr 2026'!F62</f>
        <v>0</v>
      </c>
    </row>
    <row r="361" spans="27:27" x14ac:dyDescent="0.25">
      <c r="AA361" s="14">
        <f>'Apr 2026'!F63</f>
        <v>0</v>
      </c>
    </row>
    <row r="362" spans="27:27" x14ac:dyDescent="0.25">
      <c r="AA362" s="14">
        <f>'Apr 2026'!F64</f>
        <v>0</v>
      </c>
    </row>
    <row r="363" spans="27:27" x14ac:dyDescent="0.25">
      <c r="AA363" s="14">
        <f>'Apr 2026'!F65</f>
        <v>0</v>
      </c>
    </row>
    <row r="364" spans="27:27" x14ac:dyDescent="0.25">
      <c r="AA364" s="14">
        <f>'Apr 2026'!F66</f>
        <v>0</v>
      </c>
    </row>
    <row r="365" spans="27:27" x14ac:dyDescent="0.25">
      <c r="AA365" s="14">
        <f>'Apr 2026'!F67</f>
        <v>0</v>
      </c>
    </row>
    <row r="366" spans="27:27" x14ac:dyDescent="0.25">
      <c r="AA366" s="14">
        <f>'Apr 2026'!F68</f>
        <v>0</v>
      </c>
    </row>
    <row r="367" spans="27:27" x14ac:dyDescent="0.25">
      <c r="AA367" s="14">
        <f>'Apr 2026'!F69</f>
        <v>0</v>
      </c>
    </row>
    <row r="368" spans="27:27" x14ac:dyDescent="0.25">
      <c r="AA368" s="14">
        <f>'Apr 2026'!F70</f>
        <v>0</v>
      </c>
    </row>
    <row r="369" spans="27:27" x14ac:dyDescent="0.25">
      <c r="AA369" s="14">
        <f>'Apr 2026'!F71</f>
        <v>0</v>
      </c>
    </row>
    <row r="370" spans="27:27" x14ac:dyDescent="0.25">
      <c r="AA370" s="14">
        <f>'Apr 2026'!F72</f>
        <v>0</v>
      </c>
    </row>
    <row r="371" spans="27:27" x14ac:dyDescent="0.25">
      <c r="AA371" s="14">
        <f>'Apr 2026'!F73</f>
        <v>0</v>
      </c>
    </row>
    <row r="372" spans="27:27" x14ac:dyDescent="0.25">
      <c r="AA372" s="14">
        <f>'Apr 2026'!F74</f>
        <v>0</v>
      </c>
    </row>
    <row r="373" spans="27:27" x14ac:dyDescent="0.25">
      <c r="AA373" s="14">
        <f>'Apr 2026'!F75</f>
        <v>0</v>
      </c>
    </row>
    <row r="374" spans="27:27" x14ac:dyDescent="0.25">
      <c r="AA374" s="14">
        <f>'Apr 2026'!F76</f>
        <v>0</v>
      </c>
    </row>
    <row r="375" spans="27:27" x14ac:dyDescent="0.25">
      <c r="AA375" s="14">
        <f>'Apr 2026'!F77</f>
        <v>0</v>
      </c>
    </row>
    <row r="376" spans="27:27" x14ac:dyDescent="0.25">
      <c r="AA376" s="14">
        <f>'Apr 2026'!F78</f>
        <v>0</v>
      </c>
    </row>
    <row r="377" spans="27:27" x14ac:dyDescent="0.25">
      <c r="AA377" s="14">
        <f>'Apr 2026'!F79</f>
        <v>0</v>
      </c>
    </row>
    <row r="378" spans="27:27" x14ac:dyDescent="0.25">
      <c r="AA378" s="14">
        <f>'Apr 2026'!F80</f>
        <v>0</v>
      </c>
    </row>
    <row r="379" spans="27:27" x14ac:dyDescent="0.25">
      <c r="AA379" s="14">
        <f>'Apr 2026'!F81</f>
        <v>0</v>
      </c>
    </row>
    <row r="380" spans="27:27" x14ac:dyDescent="0.25">
      <c r="AA380" s="14">
        <f>'Apr 2026'!F82</f>
        <v>0</v>
      </c>
    </row>
    <row r="381" spans="27:27" x14ac:dyDescent="0.25">
      <c r="AA381" s="14">
        <f>'Apr 2026'!F83</f>
        <v>0</v>
      </c>
    </row>
    <row r="382" spans="27:27" x14ac:dyDescent="0.25">
      <c r="AA382" s="14">
        <f>'Apr 2026'!F84</f>
        <v>0</v>
      </c>
    </row>
    <row r="383" spans="27:27" x14ac:dyDescent="0.25">
      <c r="AA383" s="14">
        <f>'Apr 2026'!F85</f>
        <v>0</v>
      </c>
    </row>
    <row r="384" spans="27:27" x14ac:dyDescent="0.25">
      <c r="AA384" s="14">
        <f>'Apr 2026'!F86</f>
        <v>0</v>
      </c>
    </row>
    <row r="385" spans="27:27" x14ac:dyDescent="0.25">
      <c r="AA385" s="14">
        <f>'Apr 2026'!F87</f>
        <v>0</v>
      </c>
    </row>
    <row r="386" spans="27:27" x14ac:dyDescent="0.25">
      <c r="AA386" s="14">
        <f>'Apr 2026'!F88</f>
        <v>0</v>
      </c>
    </row>
    <row r="387" spans="27:27" x14ac:dyDescent="0.25">
      <c r="AA387" s="14">
        <f>'Apr 2026'!F89</f>
        <v>0</v>
      </c>
    </row>
    <row r="388" spans="27:27" x14ac:dyDescent="0.25">
      <c r="AA388" s="14">
        <f>'Apr 2026'!F90</f>
        <v>0</v>
      </c>
    </row>
    <row r="389" spans="27:27" x14ac:dyDescent="0.25">
      <c r="AA389" s="14">
        <f>'Apr 2026'!F91</f>
        <v>0</v>
      </c>
    </row>
    <row r="390" spans="27:27" x14ac:dyDescent="0.25">
      <c r="AA390" s="14">
        <f>'Apr 2026'!F92</f>
        <v>0</v>
      </c>
    </row>
    <row r="391" spans="27:27" x14ac:dyDescent="0.25">
      <c r="AA391" s="14">
        <f>'Apr 2026'!F93</f>
        <v>0</v>
      </c>
    </row>
    <row r="392" spans="27:27" x14ac:dyDescent="0.25">
      <c r="AA392" s="14">
        <f>'Apr 2026'!F94</f>
        <v>0</v>
      </c>
    </row>
    <row r="393" spans="27:27" x14ac:dyDescent="0.25">
      <c r="AA393" s="14">
        <f>'Apr 2026'!F95</f>
        <v>0</v>
      </c>
    </row>
    <row r="394" spans="27:27" x14ac:dyDescent="0.25">
      <c r="AA394" s="14">
        <f>'Apr 2026'!F96</f>
        <v>0</v>
      </c>
    </row>
    <row r="395" spans="27:27" x14ac:dyDescent="0.25">
      <c r="AA395" s="14">
        <f>'Apr 2026'!F97</f>
        <v>0</v>
      </c>
    </row>
    <row r="396" spans="27:27" x14ac:dyDescent="0.25">
      <c r="AA396" s="14">
        <f>'Apr 2026'!F98</f>
        <v>0</v>
      </c>
    </row>
    <row r="397" spans="27:27" x14ac:dyDescent="0.25">
      <c r="AA397" s="14">
        <f>'Apr 2026'!F99</f>
        <v>0</v>
      </c>
    </row>
    <row r="398" spans="27:27" x14ac:dyDescent="0.25">
      <c r="AA398" s="14">
        <f>'Apr 2026'!F100</f>
        <v>0</v>
      </c>
    </row>
    <row r="400" spans="27:27" x14ac:dyDescent="0.25">
      <c r="AA400" s="14">
        <f>'May 2026'!F2</f>
        <v>0</v>
      </c>
    </row>
    <row r="401" spans="27:27" x14ac:dyDescent="0.25">
      <c r="AA401" s="14">
        <f>'May 2026'!F3</f>
        <v>0</v>
      </c>
    </row>
    <row r="402" spans="27:27" x14ac:dyDescent="0.25">
      <c r="AA402" s="14">
        <f>'May 2026'!F4</f>
        <v>0</v>
      </c>
    </row>
    <row r="403" spans="27:27" x14ac:dyDescent="0.25">
      <c r="AA403" s="14">
        <f>'May 2026'!F5</f>
        <v>0</v>
      </c>
    </row>
    <row r="404" spans="27:27" x14ac:dyDescent="0.25">
      <c r="AA404" s="14">
        <f>'May 2026'!F6</f>
        <v>0</v>
      </c>
    </row>
    <row r="405" spans="27:27" x14ac:dyDescent="0.25">
      <c r="AA405" s="14">
        <f>'May 2026'!F7</f>
        <v>0</v>
      </c>
    </row>
    <row r="406" spans="27:27" x14ac:dyDescent="0.25">
      <c r="AA406" s="14">
        <f>'May 2026'!F8</f>
        <v>0</v>
      </c>
    </row>
    <row r="407" spans="27:27" x14ac:dyDescent="0.25">
      <c r="AA407" s="14">
        <f>'May 2026'!F9</f>
        <v>0</v>
      </c>
    </row>
    <row r="408" spans="27:27" x14ac:dyDescent="0.25">
      <c r="AA408" s="14">
        <f>'May 2026'!F10</f>
        <v>0</v>
      </c>
    </row>
    <row r="409" spans="27:27" x14ac:dyDescent="0.25">
      <c r="AA409" s="14">
        <f>'May 2026'!F11</f>
        <v>0</v>
      </c>
    </row>
    <row r="410" spans="27:27" x14ac:dyDescent="0.25">
      <c r="AA410" s="14">
        <f>'May 2026'!F12</f>
        <v>0</v>
      </c>
    </row>
    <row r="411" spans="27:27" x14ac:dyDescent="0.25">
      <c r="AA411" s="14">
        <f>'May 2026'!F13</f>
        <v>0</v>
      </c>
    </row>
    <row r="412" spans="27:27" x14ac:dyDescent="0.25">
      <c r="AA412" s="14">
        <f>'May 2026'!F14</f>
        <v>0</v>
      </c>
    </row>
    <row r="413" spans="27:27" x14ac:dyDescent="0.25">
      <c r="AA413" s="14">
        <f>'May 2026'!F15</f>
        <v>0</v>
      </c>
    </row>
    <row r="414" spans="27:27" x14ac:dyDescent="0.25">
      <c r="AA414" s="14">
        <f>'May 2026'!F16</f>
        <v>0</v>
      </c>
    </row>
    <row r="415" spans="27:27" x14ac:dyDescent="0.25">
      <c r="AA415" s="14">
        <f>'May 2026'!F17</f>
        <v>0</v>
      </c>
    </row>
    <row r="416" spans="27:27" x14ac:dyDescent="0.25">
      <c r="AA416" s="14">
        <f>'May 2026'!F18</f>
        <v>0</v>
      </c>
    </row>
    <row r="417" spans="27:27" x14ac:dyDescent="0.25">
      <c r="AA417" s="14">
        <f>'May 2026'!F19</f>
        <v>0</v>
      </c>
    </row>
    <row r="418" spans="27:27" x14ac:dyDescent="0.25">
      <c r="AA418" s="14">
        <f>'May 2026'!F20</f>
        <v>0</v>
      </c>
    </row>
    <row r="419" spans="27:27" x14ac:dyDescent="0.25">
      <c r="AA419" s="14">
        <f>'May 2026'!F21</f>
        <v>0</v>
      </c>
    </row>
    <row r="420" spans="27:27" x14ac:dyDescent="0.25">
      <c r="AA420" s="14">
        <f>'May 2026'!F22</f>
        <v>0</v>
      </c>
    </row>
    <row r="421" spans="27:27" x14ac:dyDescent="0.25">
      <c r="AA421" s="14">
        <f>'May 2026'!F23</f>
        <v>0</v>
      </c>
    </row>
    <row r="422" spans="27:27" x14ac:dyDescent="0.25">
      <c r="AA422" s="14">
        <f>'May 2026'!F24</f>
        <v>0</v>
      </c>
    </row>
    <row r="423" spans="27:27" x14ac:dyDescent="0.25">
      <c r="AA423" s="14">
        <f>'May 2026'!F25</f>
        <v>0</v>
      </c>
    </row>
    <row r="424" spans="27:27" x14ac:dyDescent="0.25">
      <c r="AA424" s="14">
        <f>'May 2026'!F26</f>
        <v>0</v>
      </c>
    </row>
    <row r="425" spans="27:27" x14ac:dyDescent="0.25">
      <c r="AA425" s="14">
        <f>'May 2026'!F27</f>
        <v>0</v>
      </c>
    </row>
    <row r="426" spans="27:27" x14ac:dyDescent="0.25">
      <c r="AA426" s="14">
        <f>'May 2026'!F28</f>
        <v>0</v>
      </c>
    </row>
    <row r="427" spans="27:27" x14ac:dyDescent="0.25">
      <c r="AA427" s="14">
        <f>'May 2026'!F29</f>
        <v>0</v>
      </c>
    </row>
    <row r="428" spans="27:27" x14ac:dyDescent="0.25">
      <c r="AA428" s="14">
        <f>'May 2026'!F30</f>
        <v>0</v>
      </c>
    </row>
    <row r="429" spans="27:27" x14ac:dyDescent="0.25">
      <c r="AA429" s="14">
        <f>'May 2026'!F31</f>
        <v>0</v>
      </c>
    </row>
    <row r="430" spans="27:27" x14ac:dyDescent="0.25">
      <c r="AA430" s="14">
        <f>'May 2026'!F32</f>
        <v>0</v>
      </c>
    </row>
    <row r="431" spans="27:27" x14ac:dyDescent="0.25">
      <c r="AA431" s="14">
        <f>'May 2026'!F33</f>
        <v>0</v>
      </c>
    </row>
    <row r="432" spans="27:27" x14ac:dyDescent="0.25">
      <c r="AA432" s="14">
        <f>'May 2026'!F34</f>
        <v>0</v>
      </c>
    </row>
    <row r="433" spans="27:27" x14ac:dyDescent="0.25">
      <c r="AA433" s="14">
        <f>'May 2026'!F35</f>
        <v>0</v>
      </c>
    </row>
    <row r="434" spans="27:27" x14ac:dyDescent="0.25">
      <c r="AA434" s="14">
        <f>'May 2026'!F36</f>
        <v>0</v>
      </c>
    </row>
    <row r="435" spans="27:27" x14ac:dyDescent="0.25">
      <c r="AA435" s="14">
        <f>'May 2026'!F37</f>
        <v>0</v>
      </c>
    </row>
    <row r="436" spans="27:27" x14ac:dyDescent="0.25">
      <c r="AA436" s="14">
        <f>'May 2026'!F38</f>
        <v>0</v>
      </c>
    </row>
    <row r="437" spans="27:27" x14ac:dyDescent="0.25">
      <c r="AA437" s="14">
        <f>'May 2026'!F39</f>
        <v>0</v>
      </c>
    </row>
    <row r="438" spans="27:27" x14ac:dyDescent="0.25">
      <c r="AA438" s="14">
        <f>'May 2026'!F40</f>
        <v>0</v>
      </c>
    </row>
    <row r="439" spans="27:27" x14ac:dyDescent="0.25">
      <c r="AA439" s="14">
        <f>'May 2026'!F41</f>
        <v>0</v>
      </c>
    </row>
    <row r="440" spans="27:27" x14ac:dyDescent="0.25">
      <c r="AA440" s="14">
        <f>'May 2026'!F42</f>
        <v>0</v>
      </c>
    </row>
    <row r="441" spans="27:27" x14ac:dyDescent="0.25">
      <c r="AA441" s="14">
        <f>'May 2026'!F43</f>
        <v>0</v>
      </c>
    </row>
    <row r="442" spans="27:27" x14ac:dyDescent="0.25">
      <c r="AA442" s="14">
        <f>'May 2026'!F44</f>
        <v>0</v>
      </c>
    </row>
    <row r="443" spans="27:27" x14ac:dyDescent="0.25">
      <c r="AA443" s="14">
        <f>'May 2026'!F45</f>
        <v>0</v>
      </c>
    </row>
    <row r="444" spans="27:27" x14ac:dyDescent="0.25">
      <c r="AA444" s="14">
        <f>'May 2026'!F46</f>
        <v>0</v>
      </c>
    </row>
    <row r="445" spans="27:27" x14ac:dyDescent="0.25">
      <c r="AA445" s="14">
        <f>'May 2026'!F47</f>
        <v>0</v>
      </c>
    </row>
    <row r="446" spans="27:27" x14ac:dyDescent="0.25">
      <c r="AA446" s="14">
        <f>'May 2026'!F48</f>
        <v>0</v>
      </c>
    </row>
    <row r="447" spans="27:27" x14ac:dyDescent="0.25">
      <c r="AA447" s="14">
        <f>'May 2026'!F49</f>
        <v>0</v>
      </c>
    </row>
    <row r="448" spans="27:27" x14ac:dyDescent="0.25">
      <c r="AA448" s="14">
        <f>'May 2026'!F50</f>
        <v>0</v>
      </c>
    </row>
    <row r="449" spans="27:27" x14ac:dyDescent="0.25">
      <c r="AA449" s="14">
        <f>'May 2026'!F51</f>
        <v>0</v>
      </c>
    </row>
    <row r="450" spans="27:27" x14ac:dyDescent="0.25">
      <c r="AA450" s="14">
        <f>'May 2026'!F52</f>
        <v>0</v>
      </c>
    </row>
    <row r="451" spans="27:27" x14ac:dyDescent="0.25">
      <c r="AA451" s="14">
        <f>'May 2026'!F53</f>
        <v>0</v>
      </c>
    </row>
    <row r="452" spans="27:27" x14ac:dyDescent="0.25">
      <c r="AA452" s="14">
        <f>'May 2026'!F54</f>
        <v>0</v>
      </c>
    </row>
    <row r="453" spans="27:27" x14ac:dyDescent="0.25">
      <c r="AA453" s="14">
        <f>'May 2026'!F55</f>
        <v>0</v>
      </c>
    </row>
    <row r="454" spans="27:27" x14ac:dyDescent="0.25">
      <c r="AA454" s="14">
        <f>'May 2026'!F56</f>
        <v>0</v>
      </c>
    </row>
    <row r="455" spans="27:27" x14ac:dyDescent="0.25">
      <c r="AA455" s="14">
        <f>'May 2026'!F57</f>
        <v>0</v>
      </c>
    </row>
    <row r="456" spans="27:27" x14ac:dyDescent="0.25">
      <c r="AA456" s="14">
        <f>'May 2026'!F58</f>
        <v>0</v>
      </c>
    </row>
    <row r="457" spans="27:27" x14ac:dyDescent="0.25">
      <c r="AA457" s="14">
        <f>'May 2026'!F59</f>
        <v>0</v>
      </c>
    </row>
    <row r="458" spans="27:27" x14ac:dyDescent="0.25">
      <c r="AA458" s="14">
        <f>'May 2026'!F60</f>
        <v>0</v>
      </c>
    </row>
    <row r="459" spans="27:27" x14ac:dyDescent="0.25">
      <c r="AA459" s="14">
        <f>'May 2026'!F61</f>
        <v>0</v>
      </c>
    </row>
    <row r="460" spans="27:27" x14ac:dyDescent="0.25">
      <c r="AA460" s="14">
        <f>'May 2026'!F62</f>
        <v>0</v>
      </c>
    </row>
    <row r="461" spans="27:27" x14ac:dyDescent="0.25">
      <c r="AA461" s="14">
        <f>'May 2026'!F63</f>
        <v>0</v>
      </c>
    </row>
    <row r="462" spans="27:27" x14ac:dyDescent="0.25">
      <c r="AA462" s="14">
        <f>'May 2026'!F64</f>
        <v>0</v>
      </c>
    </row>
    <row r="463" spans="27:27" x14ac:dyDescent="0.25">
      <c r="AA463" s="14">
        <f>'May 2026'!F65</f>
        <v>0</v>
      </c>
    </row>
    <row r="464" spans="27:27" x14ac:dyDescent="0.25">
      <c r="AA464" s="14">
        <f>'May 2026'!F66</f>
        <v>0</v>
      </c>
    </row>
    <row r="465" spans="27:27" x14ac:dyDescent="0.25">
      <c r="AA465" s="14">
        <f>'May 2026'!F67</f>
        <v>0</v>
      </c>
    </row>
    <row r="466" spans="27:27" x14ac:dyDescent="0.25">
      <c r="AA466" s="14">
        <f>'May 2026'!F68</f>
        <v>0</v>
      </c>
    </row>
    <row r="467" spans="27:27" x14ac:dyDescent="0.25">
      <c r="AA467" s="14">
        <f>'May 2026'!F69</f>
        <v>0</v>
      </c>
    </row>
    <row r="468" spans="27:27" x14ac:dyDescent="0.25">
      <c r="AA468" s="14">
        <f>'May 2026'!F70</f>
        <v>0</v>
      </c>
    </row>
    <row r="469" spans="27:27" x14ac:dyDescent="0.25">
      <c r="AA469" s="14">
        <f>'May 2026'!F71</f>
        <v>0</v>
      </c>
    </row>
    <row r="470" spans="27:27" x14ac:dyDescent="0.25">
      <c r="AA470" s="14">
        <f>'May 2026'!F72</f>
        <v>0</v>
      </c>
    </row>
    <row r="471" spans="27:27" x14ac:dyDescent="0.25">
      <c r="AA471" s="14">
        <f>'May 2026'!F73</f>
        <v>0</v>
      </c>
    </row>
    <row r="472" spans="27:27" x14ac:dyDescent="0.25">
      <c r="AA472" s="14">
        <f>'May 2026'!F74</f>
        <v>0</v>
      </c>
    </row>
    <row r="473" spans="27:27" x14ac:dyDescent="0.25">
      <c r="AA473" s="14">
        <f>'May 2026'!F75</f>
        <v>0</v>
      </c>
    </row>
    <row r="474" spans="27:27" x14ac:dyDescent="0.25">
      <c r="AA474" s="14">
        <f>'May 2026'!F76</f>
        <v>0</v>
      </c>
    </row>
    <row r="475" spans="27:27" x14ac:dyDescent="0.25">
      <c r="AA475" s="14">
        <f>'May 2026'!F77</f>
        <v>0</v>
      </c>
    </row>
    <row r="476" spans="27:27" x14ac:dyDescent="0.25">
      <c r="AA476" s="14">
        <f>'May 2026'!F78</f>
        <v>0</v>
      </c>
    </row>
    <row r="477" spans="27:27" x14ac:dyDescent="0.25">
      <c r="AA477" s="14">
        <f>'May 2026'!F79</f>
        <v>0</v>
      </c>
    </row>
    <row r="478" spans="27:27" x14ac:dyDescent="0.25">
      <c r="AA478" s="14">
        <f>'May 2026'!F80</f>
        <v>0</v>
      </c>
    </row>
    <row r="479" spans="27:27" x14ac:dyDescent="0.25">
      <c r="AA479" s="14">
        <f>'May 2026'!F81</f>
        <v>0</v>
      </c>
    </row>
    <row r="480" spans="27:27" x14ac:dyDescent="0.25">
      <c r="AA480" s="14">
        <f>'May 2026'!F82</f>
        <v>0</v>
      </c>
    </row>
    <row r="481" spans="27:27" x14ac:dyDescent="0.25">
      <c r="AA481" s="14">
        <f>'May 2026'!F83</f>
        <v>0</v>
      </c>
    </row>
    <row r="482" spans="27:27" x14ac:dyDescent="0.25">
      <c r="AA482" s="14">
        <f>'May 2026'!F84</f>
        <v>0</v>
      </c>
    </row>
    <row r="483" spans="27:27" x14ac:dyDescent="0.25">
      <c r="AA483" s="14">
        <f>'May 2026'!F85</f>
        <v>0</v>
      </c>
    </row>
    <row r="484" spans="27:27" x14ac:dyDescent="0.25">
      <c r="AA484" s="14">
        <f>'May 2026'!F86</f>
        <v>0</v>
      </c>
    </row>
    <row r="485" spans="27:27" x14ac:dyDescent="0.25">
      <c r="AA485" s="14">
        <f>'May 2026'!F87</f>
        <v>0</v>
      </c>
    </row>
    <row r="486" spans="27:27" x14ac:dyDescent="0.25">
      <c r="AA486" s="14">
        <f>'May 2026'!F88</f>
        <v>0</v>
      </c>
    </row>
    <row r="487" spans="27:27" x14ac:dyDescent="0.25">
      <c r="AA487" s="14">
        <f>'May 2026'!F89</f>
        <v>0</v>
      </c>
    </row>
    <row r="488" spans="27:27" x14ac:dyDescent="0.25">
      <c r="AA488" s="14">
        <f>'May 2026'!F90</f>
        <v>0</v>
      </c>
    </row>
    <row r="489" spans="27:27" x14ac:dyDescent="0.25">
      <c r="AA489" s="14">
        <f>'May 2026'!F91</f>
        <v>0</v>
      </c>
    </row>
    <row r="490" spans="27:27" x14ac:dyDescent="0.25">
      <c r="AA490" s="14">
        <f>'May 2026'!F92</f>
        <v>0</v>
      </c>
    </row>
    <row r="491" spans="27:27" x14ac:dyDescent="0.25">
      <c r="AA491" s="14">
        <f>'May 2026'!F93</f>
        <v>0</v>
      </c>
    </row>
    <row r="492" spans="27:27" x14ac:dyDescent="0.25">
      <c r="AA492" s="14">
        <f>'May 2026'!F94</f>
        <v>0</v>
      </c>
    </row>
    <row r="493" spans="27:27" x14ac:dyDescent="0.25">
      <c r="AA493" s="14">
        <f>'May 2026'!F95</f>
        <v>0</v>
      </c>
    </row>
    <row r="494" spans="27:27" x14ac:dyDescent="0.25">
      <c r="AA494" s="14">
        <f>'May 2026'!F96</f>
        <v>0</v>
      </c>
    </row>
    <row r="495" spans="27:27" x14ac:dyDescent="0.25">
      <c r="AA495" s="14">
        <f>'May 2026'!F97</f>
        <v>0</v>
      </c>
    </row>
    <row r="496" spans="27:27" x14ac:dyDescent="0.25">
      <c r="AA496" s="14">
        <f>'May 2026'!F98</f>
        <v>0</v>
      </c>
    </row>
    <row r="497" spans="27:27" x14ac:dyDescent="0.25">
      <c r="AA497" s="14">
        <f>'May 2026'!F99</f>
        <v>0</v>
      </c>
    </row>
    <row r="498" spans="27:27" x14ac:dyDescent="0.25">
      <c r="AA498" s="14">
        <f>'May 2026'!F100</f>
        <v>0</v>
      </c>
    </row>
    <row r="499" spans="27:27" x14ac:dyDescent="0.25">
      <c r="AA499" s="14">
        <f>'May 2026'!F101</f>
        <v>0</v>
      </c>
    </row>
    <row r="501" spans="27:27" x14ac:dyDescent="0.25">
      <c r="AA501" s="14">
        <f>'Jun 2026'!F2</f>
        <v>0</v>
      </c>
    </row>
    <row r="502" spans="27:27" x14ac:dyDescent="0.25">
      <c r="AA502" s="14">
        <f>'Jun 2026'!F3</f>
        <v>0</v>
      </c>
    </row>
    <row r="503" spans="27:27" x14ac:dyDescent="0.25">
      <c r="AA503" s="14">
        <f>'Jun 2026'!F4</f>
        <v>0</v>
      </c>
    </row>
    <row r="504" spans="27:27" x14ac:dyDescent="0.25">
      <c r="AA504" s="14">
        <f>'Jun 2026'!F5</f>
        <v>0</v>
      </c>
    </row>
    <row r="505" spans="27:27" x14ac:dyDescent="0.25">
      <c r="AA505" s="14">
        <f>'Jun 2026'!F6</f>
        <v>0</v>
      </c>
    </row>
    <row r="506" spans="27:27" x14ac:dyDescent="0.25">
      <c r="AA506" s="14">
        <f>'Jun 2026'!F7</f>
        <v>0</v>
      </c>
    </row>
    <row r="507" spans="27:27" x14ac:dyDescent="0.25">
      <c r="AA507" s="14">
        <f>'Jun 2026'!F8</f>
        <v>0</v>
      </c>
    </row>
    <row r="508" spans="27:27" x14ac:dyDescent="0.25">
      <c r="AA508" s="14">
        <f>'Jun 2026'!F9</f>
        <v>0</v>
      </c>
    </row>
    <row r="509" spans="27:27" x14ac:dyDescent="0.25">
      <c r="AA509" s="14">
        <f>'Jun 2026'!F10</f>
        <v>0</v>
      </c>
    </row>
    <row r="510" spans="27:27" x14ac:dyDescent="0.25">
      <c r="AA510" s="14">
        <f>'Jun 2026'!F11</f>
        <v>0</v>
      </c>
    </row>
    <row r="511" spans="27:27" x14ac:dyDescent="0.25">
      <c r="AA511" s="14">
        <f>'Jun 2026'!F12</f>
        <v>0</v>
      </c>
    </row>
    <row r="512" spans="27:27" x14ac:dyDescent="0.25">
      <c r="AA512" s="14">
        <f>'Jun 2026'!F13</f>
        <v>0</v>
      </c>
    </row>
    <row r="513" spans="27:27" x14ac:dyDescent="0.25">
      <c r="AA513" s="14">
        <f>'Jun 2026'!F14</f>
        <v>0</v>
      </c>
    </row>
    <row r="514" spans="27:27" x14ac:dyDescent="0.25">
      <c r="AA514" s="14">
        <f>'Jun 2026'!F15</f>
        <v>0</v>
      </c>
    </row>
    <row r="515" spans="27:27" x14ac:dyDescent="0.25">
      <c r="AA515" s="14">
        <f>'Jun 2026'!F16</f>
        <v>0</v>
      </c>
    </row>
    <row r="516" spans="27:27" x14ac:dyDescent="0.25">
      <c r="AA516" s="14">
        <f>'Jun 2026'!F17</f>
        <v>0</v>
      </c>
    </row>
    <row r="517" spans="27:27" x14ac:dyDescent="0.25">
      <c r="AA517" s="14">
        <f>'Jun 2026'!F18</f>
        <v>0</v>
      </c>
    </row>
    <row r="518" spans="27:27" x14ac:dyDescent="0.25">
      <c r="AA518" s="14">
        <f>'Jun 2026'!F19</f>
        <v>0</v>
      </c>
    </row>
    <row r="519" spans="27:27" x14ac:dyDescent="0.25">
      <c r="AA519" s="14">
        <f>'Jun 2026'!F20</f>
        <v>0</v>
      </c>
    </row>
    <row r="520" spans="27:27" x14ac:dyDescent="0.25">
      <c r="AA520" s="14">
        <f>'Jun 2026'!F21</f>
        <v>0</v>
      </c>
    </row>
    <row r="521" spans="27:27" x14ac:dyDescent="0.25">
      <c r="AA521" s="14">
        <f>'Jun 2026'!F22</f>
        <v>0</v>
      </c>
    </row>
    <row r="522" spans="27:27" x14ac:dyDescent="0.25">
      <c r="AA522" s="14">
        <f>'Jun 2026'!F23</f>
        <v>0</v>
      </c>
    </row>
    <row r="523" spans="27:27" x14ac:dyDescent="0.25">
      <c r="AA523" s="14">
        <f>'Jun 2026'!F24</f>
        <v>0</v>
      </c>
    </row>
    <row r="524" spans="27:27" x14ac:dyDescent="0.25">
      <c r="AA524" s="14">
        <f>'Jun 2026'!F25</f>
        <v>0</v>
      </c>
    </row>
    <row r="525" spans="27:27" x14ac:dyDescent="0.25">
      <c r="AA525" s="14">
        <f>'Jun 2026'!F26</f>
        <v>0</v>
      </c>
    </row>
    <row r="526" spans="27:27" x14ac:dyDescent="0.25">
      <c r="AA526" s="14">
        <f>'Jun 2026'!F27</f>
        <v>0</v>
      </c>
    </row>
    <row r="527" spans="27:27" x14ac:dyDescent="0.25">
      <c r="AA527" s="14">
        <f>'Jun 2026'!F28</f>
        <v>0</v>
      </c>
    </row>
    <row r="528" spans="27:27" x14ac:dyDescent="0.25">
      <c r="AA528" s="14">
        <f>'Jun 2026'!F29</f>
        <v>0</v>
      </c>
    </row>
    <row r="529" spans="27:27" x14ac:dyDescent="0.25">
      <c r="AA529" s="14">
        <f>'Jun 2026'!F30</f>
        <v>0</v>
      </c>
    </row>
    <row r="530" spans="27:27" x14ac:dyDescent="0.25">
      <c r="AA530" s="14">
        <f>'Jun 2026'!F31</f>
        <v>0</v>
      </c>
    </row>
    <row r="531" spans="27:27" x14ac:dyDescent="0.25">
      <c r="AA531" s="14">
        <f>'Jun 2026'!F32</f>
        <v>0</v>
      </c>
    </row>
    <row r="532" spans="27:27" x14ac:dyDescent="0.25">
      <c r="AA532" s="14">
        <f>'Jun 2026'!F33</f>
        <v>0</v>
      </c>
    </row>
    <row r="533" spans="27:27" x14ac:dyDescent="0.25">
      <c r="AA533" s="14">
        <f>'Jun 2026'!F34</f>
        <v>0</v>
      </c>
    </row>
    <row r="534" spans="27:27" x14ac:dyDescent="0.25">
      <c r="AA534" s="14">
        <f>'Jun 2026'!F35</f>
        <v>0</v>
      </c>
    </row>
    <row r="535" spans="27:27" x14ac:dyDescent="0.25">
      <c r="AA535" s="14">
        <f>'Jun 2026'!F36</f>
        <v>0</v>
      </c>
    </row>
    <row r="536" spans="27:27" x14ac:dyDescent="0.25">
      <c r="AA536" s="14">
        <f>'Jun 2026'!F37</f>
        <v>0</v>
      </c>
    </row>
    <row r="537" spans="27:27" x14ac:dyDescent="0.25">
      <c r="AA537" s="14">
        <f>'Jun 2026'!F38</f>
        <v>0</v>
      </c>
    </row>
    <row r="538" spans="27:27" x14ac:dyDescent="0.25">
      <c r="AA538" s="14">
        <f>'Jun 2026'!F39</f>
        <v>0</v>
      </c>
    </row>
    <row r="539" spans="27:27" x14ac:dyDescent="0.25">
      <c r="AA539" s="14">
        <f>'Jun 2026'!F40</f>
        <v>0</v>
      </c>
    </row>
    <row r="540" spans="27:27" x14ac:dyDescent="0.25">
      <c r="AA540" s="14">
        <f>'Jun 2026'!F41</f>
        <v>0</v>
      </c>
    </row>
    <row r="541" spans="27:27" x14ac:dyDescent="0.25">
      <c r="AA541" s="14">
        <f>'Jun 2026'!F42</f>
        <v>0</v>
      </c>
    </row>
    <row r="542" spans="27:27" x14ac:dyDescent="0.25">
      <c r="AA542" s="14">
        <f>'Jun 2026'!F43</f>
        <v>0</v>
      </c>
    </row>
    <row r="543" spans="27:27" x14ac:dyDescent="0.25">
      <c r="AA543" s="14">
        <f>'Jun 2026'!F44</f>
        <v>0</v>
      </c>
    </row>
    <row r="544" spans="27:27" x14ac:dyDescent="0.25">
      <c r="AA544" s="14">
        <f>'Jun 2026'!F45</f>
        <v>0</v>
      </c>
    </row>
    <row r="545" spans="27:27" x14ac:dyDescent="0.25">
      <c r="AA545" s="14">
        <f>'Jun 2026'!F46</f>
        <v>0</v>
      </c>
    </row>
    <row r="546" spans="27:27" x14ac:dyDescent="0.25">
      <c r="AA546" s="14">
        <f>'Jun 2026'!F47</f>
        <v>0</v>
      </c>
    </row>
    <row r="547" spans="27:27" x14ac:dyDescent="0.25">
      <c r="AA547" s="14">
        <f>'Jun 2026'!F48</f>
        <v>0</v>
      </c>
    </row>
    <row r="548" spans="27:27" x14ac:dyDescent="0.25">
      <c r="AA548" s="14">
        <f>'Jun 2026'!F49</f>
        <v>0</v>
      </c>
    </row>
    <row r="549" spans="27:27" x14ac:dyDescent="0.25">
      <c r="AA549" s="14">
        <f>'Jun 2026'!F50</f>
        <v>0</v>
      </c>
    </row>
    <row r="550" spans="27:27" x14ac:dyDescent="0.25">
      <c r="AA550" s="14">
        <f>'Jun 2026'!F51</f>
        <v>0</v>
      </c>
    </row>
    <row r="551" spans="27:27" x14ac:dyDescent="0.25">
      <c r="AA551" s="14">
        <f>'Jun 2026'!F52</f>
        <v>0</v>
      </c>
    </row>
    <row r="552" spans="27:27" x14ac:dyDescent="0.25">
      <c r="AA552" s="14">
        <f>'Jun 2026'!F53</f>
        <v>0</v>
      </c>
    </row>
    <row r="553" spans="27:27" x14ac:dyDescent="0.25">
      <c r="AA553" s="14">
        <f>'Jun 2026'!F54</f>
        <v>0</v>
      </c>
    </row>
    <row r="554" spans="27:27" x14ac:dyDescent="0.25">
      <c r="AA554" s="14">
        <f>'Jun 2026'!F55</f>
        <v>0</v>
      </c>
    </row>
    <row r="555" spans="27:27" x14ac:dyDescent="0.25">
      <c r="AA555" s="14">
        <f>'Jun 2026'!F56</f>
        <v>0</v>
      </c>
    </row>
    <row r="556" spans="27:27" x14ac:dyDescent="0.25">
      <c r="AA556" s="14">
        <f>'Jun 2026'!F57</f>
        <v>0</v>
      </c>
    </row>
    <row r="557" spans="27:27" x14ac:dyDescent="0.25">
      <c r="AA557" s="14">
        <f>'Jun 2026'!F58</f>
        <v>0</v>
      </c>
    </row>
    <row r="558" spans="27:27" x14ac:dyDescent="0.25">
      <c r="AA558" s="14">
        <f>'Jun 2026'!F59</f>
        <v>0</v>
      </c>
    </row>
    <row r="559" spans="27:27" x14ac:dyDescent="0.25">
      <c r="AA559" s="14">
        <f>'Jun 2026'!F60</f>
        <v>0</v>
      </c>
    </row>
    <row r="560" spans="27:27" x14ac:dyDescent="0.25">
      <c r="AA560" s="14">
        <f>'Jun 2026'!F61</f>
        <v>0</v>
      </c>
    </row>
    <row r="561" spans="27:27" x14ac:dyDescent="0.25">
      <c r="AA561" s="14">
        <f>'Jun 2026'!F62</f>
        <v>0</v>
      </c>
    </row>
    <row r="562" spans="27:27" x14ac:dyDescent="0.25">
      <c r="AA562" s="14">
        <f>'Jun 2026'!F63</f>
        <v>0</v>
      </c>
    </row>
    <row r="563" spans="27:27" x14ac:dyDescent="0.25">
      <c r="AA563" s="14">
        <f>'Jun 2026'!F64</f>
        <v>0</v>
      </c>
    </row>
    <row r="564" spans="27:27" x14ac:dyDescent="0.25">
      <c r="AA564" s="14">
        <f>'Jun 2026'!F65</f>
        <v>0</v>
      </c>
    </row>
    <row r="565" spans="27:27" x14ac:dyDescent="0.25">
      <c r="AA565" s="14">
        <f>'Jun 2026'!F66</f>
        <v>0</v>
      </c>
    </row>
    <row r="566" spans="27:27" x14ac:dyDescent="0.25">
      <c r="AA566" s="14">
        <f>'Jun 2026'!F67</f>
        <v>0</v>
      </c>
    </row>
    <row r="567" spans="27:27" x14ac:dyDescent="0.25">
      <c r="AA567" s="14">
        <f>'Jun 2026'!F68</f>
        <v>0</v>
      </c>
    </row>
    <row r="568" spans="27:27" x14ac:dyDescent="0.25">
      <c r="AA568" s="14">
        <f>'Jun 2026'!F69</f>
        <v>0</v>
      </c>
    </row>
    <row r="569" spans="27:27" x14ac:dyDescent="0.25">
      <c r="AA569" s="14">
        <f>'Jun 2026'!F70</f>
        <v>0</v>
      </c>
    </row>
    <row r="570" spans="27:27" x14ac:dyDescent="0.25">
      <c r="AA570" s="14">
        <f>'Jun 2026'!F71</f>
        <v>0</v>
      </c>
    </row>
    <row r="571" spans="27:27" x14ac:dyDescent="0.25">
      <c r="AA571" s="14">
        <f>'Jun 2026'!F72</f>
        <v>0</v>
      </c>
    </row>
    <row r="572" spans="27:27" x14ac:dyDescent="0.25">
      <c r="AA572" s="14">
        <f>'Jun 2026'!F73</f>
        <v>0</v>
      </c>
    </row>
    <row r="573" spans="27:27" x14ac:dyDescent="0.25">
      <c r="AA573" s="14">
        <f>'Jun 2026'!F74</f>
        <v>0</v>
      </c>
    </row>
    <row r="574" spans="27:27" x14ac:dyDescent="0.25">
      <c r="AA574" s="14">
        <f>'Jun 2026'!F75</f>
        <v>0</v>
      </c>
    </row>
    <row r="575" spans="27:27" x14ac:dyDescent="0.25">
      <c r="AA575" s="14">
        <f>'Jun 2026'!F76</f>
        <v>0</v>
      </c>
    </row>
    <row r="576" spans="27:27" x14ac:dyDescent="0.25">
      <c r="AA576" s="14">
        <f>'Jun 2026'!F77</f>
        <v>0</v>
      </c>
    </row>
    <row r="577" spans="27:27" x14ac:dyDescent="0.25">
      <c r="AA577" s="14">
        <f>'Jun 2026'!F78</f>
        <v>0</v>
      </c>
    </row>
    <row r="578" spans="27:27" x14ac:dyDescent="0.25">
      <c r="AA578" s="14">
        <f>'Jun 2026'!F79</f>
        <v>0</v>
      </c>
    </row>
    <row r="579" spans="27:27" x14ac:dyDescent="0.25">
      <c r="AA579" s="14">
        <f>'Jun 2026'!F80</f>
        <v>0</v>
      </c>
    </row>
    <row r="580" spans="27:27" x14ac:dyDescent="0.25">
      <c r="AA580" s="14">
        <f>'Jun 2026'!F81</f>
        <v>0</v>
      </c>
    </row>
    <row r="581" spans="27:27" x14ac:dyDescent="0.25">
      <c r="AA581" s="14">
        <f>'Jun 2026'!F82</f>
        <v>0</v>
      </c>
    </row>
    <row r="582" spans="27:27" x14ac:dyDescent="0.25">
      <c r="AA582" s="14">
        <f>'Jun 2026'!F83</f>
        <v>0</v>
      </c>
    </row>
    <row r="583" spans="27:27" x14ac:dyDescent="0.25">
      <c r="AA583" s="14">
        <f>'Jun 2026'!F84</f>
        <v>0</v>
      </c>
    </row>
    <row r="584" spans="27:27" x14ac:dyDescent="0.25">
      <c r="AA584" s="14">
        <f>'Jun 2026'!F85</f>
        <v>0</v>
      </c>
    </row>
    <row r="585" spans="27:27" x14ac:dyDescent="0.25">
      <c r="AA585" s="14">
        <f>'Jun 2026'!F86</f>
        <v>0</v>
      </c>
    </row>
    <row r="586" spans="27:27" x14ac:dyDescent="0.25">
      <c r="AA586" s="14">
        <f>'Jun 2026'!F87</f>
        <v>0</v>
      </c>
    </row>
    <row r="587" spans="27:27" x14ac:dyDescent="0.25">
      <c r="AA587" s="14">
        <f>'Jun 2026'!F88</f>
        <v>0</v>
      </c>
    </row>
    <row r="588" spans="27:27" x14ac:dyDescent="0.25">
      <c r="AA588" s="14">
        <f>'Jun 2026'!F89</f>
        <v>0</v>
      </c>
    </row>
    <row r="589" spans="27:27" x14ac:dyDescent="0.25">
      <c r="AA589" s="14">
        <f>'Jun 2026'!F90</f>
        <v>0</v>
      </c>
    </row>
    <row r="590" spans="27:27" x14ac:dyDescent="0.25">
      <c r="AA590" s="14">
        <f>'Jun 2026'!F91</f>
        <v>0</v>
      </c>
    </row>
    <row r="591" spans="27:27" x14ac:dyDescent="0.25">
      <c r="AA591" s="14">
        <f>'Jun 2026'!F92</f>
        <v>0</v>
      </c>
    </row>
    <row r="592" spans="27:27" x14ac:dyDescent="0.25">
      <c r="AA592" s="14">
        <f>'Jun 2026'!F93</f>
        <v>0</v>
      </c>
    </row>
    <row r="593" spans="27:27" x14ac:dyDescent="0.25">
      <c r="AA593" s="14">
        <f>'Jun 2026'!F94</f>
        <v>0</v>
      </c>
    </row>
    <row r="594" spans="27:27" x14ac:dyDescent="0.25">
      <c r="AA594" s="14">
        <f>'Jun 2026'!F95</f>
        <v>0</v>
      </c>
    </row>
    <row r="595" spans="27:27" x14ac:dyDescent="0.25">
      <c r="AA595" s="14">
        <f>'Jun 2026'!F96</f>
        <v>0</v>
      </c>
    </row>
    <row r="596" spans="27:27" x14ac:dyDescent="0.25">
      <c r="AA596" s="14">
        <f>'Jun 2026'!F97</f>
        <v>0</v>
      </c>
    </row>
    <row r="597" spans="27:27" x14ac:dyDescent="0.25">
      <c r="AA597" s="14">
        <f>'Jun 2026'!F98</f>
        <v>0</v>
      </c>
    </row>
    <row r="598" spans="27:27" x14ac:dyDescent="0.25">
      <c r="AA598" s="14">
        <f>'Jun 2026'!F99</f>
        <v>0</v>
      </c>
    </row>
    <row r="600" spans="27:27" x14ac:dyDescent="0.25">
      <c r="AA600" s="14">
        <f>'Jul 2026'!F2</f>
        <v>0</v>
      </c>
    </row>
    <row r="601" spans="27:27" x14ac:dyDescent="0.25">
      <c r="AA601" s="14">
        <f>'Jul 2026'!F3</f>
        <v>0</v>
      </c>
    </row>
    <row r="602" spans="27:27" x14ac:dyDescent="0.25">
      <c r="AA602" s="14">
        <f>'Jul 2026'!F4</f>
        <v>0</v>
      </c>
    </row>
    <row r="603" spans="27:27" x14ac:dyDescent="0.25">
      <c r="AA603" s="14">
        <f>'Jul 2026'!F5</f>
        <v>0</v>
      </c>
    </row>
    <row r="604" spans="27:27" x14ac:dyDescent="0.25">
      <c r="AA604" s="14">
        <f>'Jul 2026'!F6</f>
        <v>0</v>
      </c>
    </row>
    <row r="605" spans="27:27" x14ac:dyDescent="0.25">
      <c r="AA605" s="14">
        <f>'Jul 2026'!F7</f>
        <v>0</v>
      </c>
    </row>
    <row r="606" spans="27:27" x14ac:dyDescent="0.25">
      <c r="AA606" s="14">
        <f>'Jul 2026'!F8</f>
        <v>0</v>
      </c>
    </row>
    <row r="607" spans="27:27" x14ac:dyDescent="0.25">
      <c r="AA607" s="14">
        <f>'Jul 2026'!F9</f>
        <v>0</v>
      </c>
    </row>
    <row r="608" spans="27:27" x14ac:dyDescent="0.25">
      <c r="AA608" s="14">
        <f>'Jul 2026'!F10</f>
        <v>0</v>
      </c>
    </row>
    <row r="609" spans="27:27" x14ac:dyDescent="0.25">
      <c r="AA609" s="14">
        <f>'Jul 2026'!F11</f>
        <v>0</v>
      </c>
    </row>
    <row r="610" spans="27:27" x14ac:dyDescent="0.25">
      <c r="AA610" s="14">
        <f>'Jul 2026'!F12</f>
        <v>0</v>
      </c>
    </row>
    <row r="611" spans="27:27" x14ac:dyDescent="0.25">
      <c r="AA611" s="14">
        <f>'Jul 2026'!F13</f>
        <v>0</v>
      </c>
    </row>
    <row r="612" spans="27:27" x14ac:dyDescent="0.25">
      <c r="AA612" s="14">
        <f>'Jul 2026'!F14</f>
        <v>0</v>
      </c>
    </row>
    <row r="613" spans="27:27" x14ac:dyDescent="0.25">
      <c r="AA613" s="14">
        <f>'Jul 2026'!F15</f>
        <v>0</v>
      </c>
    </row>
    <row r="614" spans="27:27" x14ac:dyDescent="0.25">
      <c r="AA614" s="14">
        <f>'Jul 2026'!F16</f>
        <v>0</v>
      </c>
    </row>
    <row r="615" spans="27:27" x14ac:dyDescent="0.25">
      <c r="AA615" s="14">
        <f>'Jul 2026'!F17</f>
        <v>0</v>
      </c>
    </row>
    <row r="616" spans="27:27" x14ac:dyDescent="0.25">
      <c r="AA616" s="14">
        <f>'Jul 2026'!F18</f>
        <v>0</v>
      </c>
    </row>
    <row r="617" spans="27:27" x14ac:dyDescent="0.25">
      <c r="AA617" s="14">
        <f>'Jul 2026'!F19</f>
        <v>0</v>
      </c>
    </row>
    <row r="618" spans="27:27" x14ac:dyDescent="0.25">
      <c r="AA618" s="14">
        <f>'Jul 2026'!F20</f>
        <v>0</v>
      </c>
    </row>
    <row r="619" spans="27:27" x14ac:dyDescent="0.25">
      <c r="AA619" s="14">
        <f>'Jul 2026'!F21</f>
        <v>0</v>
      </c>
    </row>
    <row r="620" spans="27:27" x14ac:dyDescent="0.25">
      <c r="AA620" s="14">
        <f>'Jul 2026'!F22</f>
        <v>0</v>
      </c>
    </row>
    <row r="621" spans="27:27" x14ac:dyDescent="0.25">
      <c r="AA621" s="14">
        <f>'Jul 2026'!F23</f>
        <v>0</v>
      </c>
    </row>
    <row r="622" spans="27:27" x14ac:dyDescent="0.25">
      <c r="AA622" s="14">
        <f>'Jul 2026'!F24</f>
        <v>0</v>
      </c>
    </row>
    <row r="623" spans="27:27" x14ac:dyDescent="0.25">
      <c r="AA623" s="14">
        <f>'Jul 2026'!F25</f>
        <v>0</v>
      </c>
    </row>
    <row r="624" spans="27:27" x14ac:dyDescent="0.25">
      <c r="AA624" s="14">
        <f>'Jul 2026'!F26</f>
        <v>0</v>
      </c>
    </row>
    <row r="625" spans="27:27" x14ac:dyDescent="0.25">
      <c r="AA625" s="14">
        <f>'Jul 2026'!F27</f>
        <v>0</v>
      </c>
    </row>
    <row r="626" spans="27:27" x14ac:dyDescent="0.25">
      <c r="AA626" s="14">
        <f>'Jul 2026'!F28</f>
        <v>0</v>
      </c>
    </row>
    <row r="627" spans="27:27" x14ac:dyDescent="0.25">
      <c r="AA627" s="14">
        <f>'Jul 2026'!F29</f>
        <v>0</v>
      </c>
    </row>
    <row r="628" spans="27:27" x14ac:dyDescent="0.25">
      <c r="AA628" s="14">
        <f>'Jul 2026'!F30</f>
        <v>0</v>
      </c>
    </row>
    <row r="629" spans="27:27" x14ac:dyDescent="0.25">
      <c r="AA629" s="14">
        <f>'Jul 2026'!F31</f>
        <v>0</v>
      </c>
    </row>
    <row r="630" spans="27:27" x14ac:dyDescent="0.25">
      <c r="AA630" s="14">
        <f>'Jul 2026'!F32</f>
        <v>0</v>
      </c>
    </row>
    <row r="631" spans="27:27" x14ac:dyDescent="0.25">
      <c r="AA631" s="14">
        <f>'Jul 2026'!F33</f>
        <v>0</v>
      </c>
    </row>
    <row r="632" spans="27:27" x14ac:dyDescent="0.25">
      <c r="AA632" s="14">
        <f>'Jul 2026'!F34</f>
        <v>0</v>
      </c>
    </row>
    <row r="633" spans="27:27" x14ac:dyDescent="0.25">
      <c r="AA633" s="14">
        <f>'Jul 2026'!F35</f>
        <v>0</v>
      </c>
    </row>
    <row r="634" spans="27:27" x14ac:dyDescent="0.25">
      <c r="AA634" s="14">
        <f>'Jul 2026'!F36</f>
        <v>0</v>
      </c>
    </row>
    <row r="635" spans="27:27" x14ac:dyDescent="0.25">
      <c r="AA635" s="14">
        <f>'Jul 2026'!F37</f>
        <v>0</v>
      </c>
    </row>
    <row r="636" spans="27:27" x14ac:dyDescent="0.25">
      <c r="AA636" s="14">
        <f>'Jul 2026'!F38</f>
        <v>0</v>
      </c>
    </row>
    <row r="637" spans="27:27" x14ac:dyDescent="0.25">
      <c r="AA637" s="14">
        <f>'Jul 2026'!F39</f>
        <v>0</v>
      </c>
    </row>
    <row r="638" spans="27:27" x14ac:dyDescent="0.25">
      <c r="AA638" s="14">
        <f>'Jul 2026'!F40</f>
        <v>0</v>
      </c>
    </row>
    <row r="639" spans="27:27" x14ac:dyDescent="0.25">
      <c r="AA639" s="14">
        <f>'Jul 2026'!F41</f>
        <v>0</v>
      </c>
    </row>
    <row r="640" spans="27:27" x14ac:dyDescent="0.25">
      <c r="AA640" s="14">
        <f>'Jul 2026'!F42</f>
        <v>0</v>
      </c>
    </row>
    <row r="641" spans="27:27" x14ac:dyDescent="0.25">
      <c r="AA641" s="14">
        <f>'Jul 2026'!F43</f>
        <v>0</v>
      </c>
    </row>
    <row r="642" spans="27:27" x14ac:dyDescent="0.25">
      <c r="AA642" s="14">
        <f>'Jul 2026'!F44</f>
        <v>0</v>
      </c>
    </row>
    <row r="643" spans="27:27" x14ac:dyDescent="0.25">
      <c r="AA643" s="14">
        <f>'Jul 2026'!F45</f>
        <v>0</v>
      </c>
    </row>
    <row r="644" spans="27:27" x14ac:dyDescent="0.25">
      <c r="AA644" s="14">
        <f>'Jul 2026'!F46</f>
        <v>0</v>
      </c>
    </row>
    <row r="645" spans="27:27" x14ac:dyDescent="0.25">
      <c r="AA645" s="14">
        <f>'Jul 2026'!F47</f>
        <v>0</v>
      </c>
    </row>
    <row r="646" spans="27:27" x14ac:dyDescent="0.25">
      <c r="AA646" s="14">
        <f>'Jul 2026'!F48</f>
        <v>0</v>
      </c>
    </row>
    <row r="647" spans="27:27" x14ac:dyDescent="0.25">
      <c r="AA647" s="14">
        <f>'Jul 2026'!F49</f>
        <v>0</v>
      </c>
    </row>
    <row r="648" spans="27:27" x14ac:dyDescent="0.25">
      <c r="AA648" s="14">
        <f>'Jul 2026'!F50</f>
        <v>0</v>
      </c>
    </row>
    <row r="649" spans="27:27" x14ac:dyDescent="0.25">
      <c r="AA649" s="14">
        <f>'Jul 2026'!F51</f>
        <v>0</v>
      </c>
    </row>
    <row r="650" spans="27:27" x14ac:dyDescent="0.25">
      <c r="AA650" s="14">
        <f>'Jul 2026'!F52</f>
        <v>0</v>
      </c>
    </row>
    <row r="651" spans="27:27" x14ac:dyDescent="0.25">
      <c r="AA651" s="14">
        <f>'Jul 2026'!F53</f>
        <v>0</v>
      </c>
    </row>
    <row r="652" spans="27:27" x14ac:dyDescent="0.25">
      <c r="AA652" s="14">
        <f>'Jul 2026'!F54</f>
        <v>0</v>
      </c>
    </row>
    <row r="653" spans="27:27" x14ac:dyDescent="0.25">
      <c r="AA653" s="14">
        <f>'Jul 2026'!F55</f>
        <v>0</v>
      </c>
    </row>
    <row r="654" spans="27:27" x14ac:dyDescent="0.25">
      <c r="AA654" s="14">
        <f>'Jul 2026'!F56</f>
        <v>0</v>
      </c>
    </row>
    <row r="655" spans="27:27" x14ac:dyDescent="0.25">
      <c r="AA655" s="14">
        <f>'Jul 2026'!F57</f>
        <v>0</v>
      </c>
    </row>
    <row r="656" spans="27:27" x14ac:dyDescent="0.25">
      <c r="AA656" s="14">
        <f>'Jul 2026'!F58</f>
        <v>0</v>
      </c>
    </row>
    <row r="657" spans="27:27" x14ac:dyDescent="0.25">
      <c r="AA657" s="14">
        <f>'Jul 2026'!F59</f>
        <v>0</v>
      </c>
    </row>
    <row r="658" spans="27:27" x14ac:dyDescent="0.25">
      <c r="AA658" s="14">
        <f>'Jul 2026'!F60</f>
        <v>0</v>
      </c>
    </row>
    <row r="659" spans="27:27" x14ac:dyDescent="0.25">
      <c r="AA659" s="14">
        <f>'Jul 2026'!F61</f>
        <v>0</v>
      </c>
    </row>
    <row r="660" spans="27:27" x14ac:dyDescent="0.25">
      <c r="AA660" s="14">
        <f>'Jul 2026'!F62</f>
        <v>0</v>
      </c>
    </row>
    <row r="661" spans="27:27" x14ac:dyDescent="0.25">
      <c r="AA661" s="14">
        <f>'Jul 2026'!F63</f>
        <v>0</v>
      </c>
    </row>
    <row r="662" spans="27:27" x14ac:dyDescent="0.25">
      <c r="AA662" s="14">
        <f>'Jul 2026'!F64</f>
        <v>0</v>
      </c>
    </row>
    <row r="663" spans="27:27" x14ac:dyDescent="0.25">
      <c r="AA663" s="14">
        <f>'Jul 2026'!F65</f>
        <v>0</v>
      </c>
    </row>
    <row r="664" spans="27:27" x14ac:dyDescent="0.25">
      <c r="AA664" s="14">
        <f>'Jul 2026'!F66</f>
        <v>0</v>
      </c>
    </row>
    <row r="665" spans="27:27" x14ac:dyDescent="0.25">
      <c r="AA665" s="14">
        <f>'Jul 2026'!F67</f>
        <v>0</v>
      </c>
    </row>
    <row r="666" spans="27:27" x14ac:dyDescent="0.25">
      <c r="AA666" s="14">
        <f>'Jul 2026'!F68</f>
        <v>0</v>
      </c>
    </row>
    <row r="667" spans="27:27" x14ac:dyDescent="0.25">
      <c r="AA667" s="14">
        <f>'Jul 2026'!F69</f>
        <v>0</v>
      </c>
    </row>
    <row r="668" spans="27:27" x14ac:dyDescent="0.25">
      <c r="AA668" s="14">
        <f>'Jul 2026'!F70</f>
        <v>0</v>
      </c>
    </row>
    <row r="669" spans="27:27" x14ac:dyDescent="0.25">
      <c r="AA669" s="14">
        <f>'Jul 2026'!F71</f>
        <v>0</v>
      </c>
    </row>
    <row r="670" spans="27:27" x14ac:dyDescent="0.25">
      <c r="AA670" s="14">
        <f>'Jul 2026'!F72</f>
        <v>0</v>
      </c>
    </row>
    <row r="671" spans="27:27" x14ac:dyDescent="0.25">
      <c r="AA671" s="14">
        <f>'Jul 2026'!F73</f>
        <v>0</v>
      </c>
    </row>
    <row r="672" spans="27:27" x14ac:dyDescent="0.25">
      <c r="AA672" s="14">
        <f>'Jul 2026'!F74</f>
        <v>0</v>
      </c>
    </row>
    <row r="673" spans="27:27" x14ac:dyDescent="0.25">
      <c r="AA673" s="14">
        <f>'Jul 2026'!F75</f>
        <v>0</v>
      </c>
    </row>
    <row r="674" spans="27:27" x14ac:dyDescent="0.25">
      <c r="AA674" s="14">
        <f>'Jul 2026'!F76</f>
        <v>0</v>
      </c>
    </row>
    <row r="675" spans="27:27" x14ac:dyDescent="0.25">
      <c r="AA675" s="14">
        <f>'Jul 2026'!F77</f>
        <v>0</v>
      </c>
    </row>
    <row r="676" spans="27:27" x14ac:dyDescent="0.25">
      <c r="AA676" s="14">
        <f>'Jul 2026'!F78</f>
        <v>0</v>
      </c>
    </row>
    <row r="677" spans="27:27" x14ac:dyDescent="0.25">
      <c r="AA677" s="14">
        <f>'Jul 2026'!F79</f>
        <v>0</v>
      </c>
    </row>
    <row r="678" spans="27:27" x14ac:dyDescent="0.25">
      <c r="AA678" s="14">
        <f>'Jul 2026'!F80</f>
        <v>0</v>
      </c>
    </row>
    <row r="679" spans="27:27" x14ac:dyDescent="0.25">
      <c r="AA679" s="14">
        <f>'Jul 2026'!F81</f>
        <v>0</v>
      </c>
    </row>
    <row r="680" spans="27:27" x14ac:dyDescent="0.25">
      <c r="AA680" s="14">
        <f>'Jul 2026'!F82</f>
        <v>0</v>
      </c>
    </row>
    <row r="681" spans="27:27" x14ac:dyDescent="0.25">
      <c r="AA681" s="14">
        <f>'Jul 2026'!F83</f>
        <v>0</v>
      </c>
    </row>
    <row r="682" spans="27:27" x14ac:dyDescent="0.25">
      <c r="AA682" s="14">
        <f>'Jul 2026'!F84</f>
        <v>0</v>
      </c>
    </row>
    <row r="683" spans="27:27" x14ac:dyDescent="0.25">
      <c r="AA683" s="14">
        <f>'Jul 2026'!F85</f>
        <v>0</v>
      </c>
    </row>
    <row r="684" spans="27:27" x14ac:dyDescent="0.25">
      <c r="AA684" s="14">
        <f>'Jul 2026'!F86</f>
        <v>0</v>
      </c>
    </row>
    <row r="685" spans="27:27" x14ac:dyDescent="0.25">
      <c r="AA685" s="14">
        <f>'Jul 2026'!F87</f>
        <v>0</v>
      </c>
    </row>
    <row r="686" spans="27:27" x14ac:dyDescent="0.25">
      <c r="AA686" s="14">
        <f>'Jul 2026'!F88</f>
        <v>0</v>
      </c>
    </row>
    <row r="687" spans="27:27" x14ac:dyDescent="0.25">
      <c r="AA687" s="14">
        <f>'Jul 2026'!F89</f>
        <v>0</v>
      </c>
    </row>
    <row r="688" spans="27:27" x14ac:dyDescent="0.25">
      <c r="AA688" s="14">
        <f>'Jul 2026'!F90</f>
        <v>0</v>
      </c>
    </row>
    <row r="689" spans="27:27" x14ac:dyDescent="0.25">
      <c r="AA689" s="14">
        <f>'Jul 2026'!F91</f>
        <v>0</v>
      </c>
    </row>
    <row r="690" spans="27:27" x14ac:dyDescent="0.25">
      <c r="AA690" s="14">
        <f>'Jul 2026'!F92</f>
        <v>0</v>
      </c>
    </row>
    <row r="691" spans="27:27" x14ac:dyDescent="0.25">
      <c r="AA691" s="14">
        <f>'Jul 2026'!F93</f>
        <v>0</v>
      </c>
    </row>
    <row r="692" spans="27:27" x14ac:dyDescent="0.25">
      <c r="AA692" s="14">
        <f>'Jul 2026'!F94</f>
        <v>0</v>
      </c>
    </row>
    <row r="693" spans="27:27" x14ac:dyDescent="0.25">
      <c r="AA693" s="14">
        <f>'Jul 2026'!F95</f>
        <v>0</v>
      </c>
    </row>
    <row r="694" spans="27:27" x14ac:dyDescent="0.25">
      <c r="AA694" s="14">
        <f>'Jul 2026'!F96</f>
        <v>0</v>
      </c>
    </row>
    <row r="695" spans="27:27" x14ac:dyDescent="0.25">
      <c r="AA695" s="14">
        <f>'Jul 2026'!F97</f>
        <v>0</v>
      </c>
    </row>
    <row r="696" spans="27:27" x14ac:dyDescent="0.25">
      <c r="AA696" s="14">
        <f>'Jul 2026'!F98</f>
        <v>0</v>
      </c>
    </row>
    <row r="697" spans="27:27" x14ac:dyDescent="0.25">
      <c r="AA697" s="14">
        <f>'Jul 2026'!F99</f>
        <v>0</v>
      </c>
    </row>
    <row r="699" spans="27:27" x14ac:dyDescent="0.25">
      <c r="AA699" s="14">
        <f>'Aug 2026'!F2</f>
        <v>0</v>
      </c>
    </row>
    <row r="700" spans="27:27" x14ac:dyDescent="0.25">
      <c r="AA700" s="14">
        <f>'Aug 2026'!F3</f>
        <v>0</v>
      </c>
    </row>
    <row r="701" spans="27:27" x14ac:dyDescent="0.25">
      <c r="AA701" s="14">
        <f>'Aug 2026'!F4</f>
        <v>0</v>
      </c>
    </row>
    <row r="702" spans="27:27" x14ac:dyDescent="0.25">
      <c r="AA702" s="14">
        <f>'Aug 2026'!F5</f>
        <v>0</v>
      </c>
    </row>
    <row r="703" spans="27:27" x14ac:dyDescent="0.25">
      <c r="AA703" s="14">
        <f>'Aug 2026'!F6</f>
        <v>0</v>
      </c>
    </row>
    <row r="704" spans="27:27" x14ac:dyDescent="0.25">
      <c r="AA704" s="14">
        <f>'Aug 2026'!F7</f>
        <v>0</v>
      </c>
    </row>
    <row r="705" spans="27:27" x14ac:dyDescent="0.25">
      <c r="AA705" s="14">
        <f>'Aug 2026'!F8</f>
        <v>0</v>
      </c>
    </row>
    <row r="706" spans="27:27" x14ac:dyDescent="0.25">
      <c r="AA706" s="14">
        <f>'Aug 2026'!F9</f>
        <v>0</v>
      </c>
    </row>
    <row r="707" spans="27:27" x14ac:dyDescent="0.25">
      <c r="AA707" s="14">
        <f>'Aug 2026'!F10</f>
        <v>0</v>
      </c>
    </row>
    <row r="708" spans="27:27" x14ac:dyDescent="0.25">
      <c r="AA708" s="14">
        <f>'Aug 2026'!F11</f>
        <v>0</v>
      </c>
    </row>
    <row r="709" spans="27:27" x14ac:dyDescent="0.25">
      <c r="AA709" s="14">
        <f>'Aug 2026'!F12</f>
        <v>0</v>
      </c>
    </row>
    <row r="710" spans="27:27" x14ac:dyDescent="0.25">
      <c r="AA710" s="14">
        <f>'Aug 2026'!F13</f>
        <v>0</v>
      </c>
    </row>
    <row r="711" spans="27:27" x14ac:dyDescent="0.25">
      <c r="AA711" s="14">
        <f>'Aug 2026'!F14</f>
        <v>0</v>
      </c>
    </row>
    <row r="712" spans="27:27" x14ac:dyDescent="0.25">
      <c r="AA712" s="14">
        <f>'Aug 2026'!F15</f>
        <v>0</v>
      </c>
    </row>
    <row r="713" spans="27:27" x14ac:dyDescent="0.25">
      <c r="AA713" s="14">
        <f>'Aug 2026'!F16</f>
        <v>0</v>
      </c>
    </row>
    <row r="714" spans="27:27" x14ac:dyDescent="0.25">
      <c r="AA714" s="14">
        <f>'Aug 2026'!F17</f>
        <v>0</v>
      </c>
    </row>
    <row r="715" spans="27:27" x14ac:dyDescent="0.25">
      <c r="AA715" s="14">
        <f>'Aug 2026'!F18</f>
        <v>0</v>
      </c>
    </row>
    <row r="716" spans="27:27" x14ac:dyDescent="0.25">
      <c r="AA716" s="14">
        <f>'Aug 2026'!F19</f>
        <v>0</v>
      </c>
    </row>
    <row r="717" spans="27:27" x14ac:dyDescent="0.25">
      <c r="AA717" s="14">
        <f>'Aug 2026'!F20</f>
        <v>0</v>
      </c>
    </row>
    <row r="718" spans="27:27" x14ac:dyDescent="0.25">
      <c r="AA718" s="14">
        <f>'Aug 2026'!F21</f>
        <v>0</v>
      </c>
    </row>
    <row r="719" spans="27:27" x14ac:dyDescent="0.25">
      <c r="AA719" s="14">
        <f>'Aug 2026'!F22</f>
        <v>0</v>
      </c>
    </row>
    <row r="720" spans="27:27" x14ac:dyDescent="0.25">
      <c r="AA720" s="14">
        <f>'Aug 2026'!F23</f>
        <v>0</v>
      </c>
    </row>
    <row r="721" spans="27:27" x14ac:dyDescent="0.25">
      <c r="AA721" s="14">
        <f>'Aug 2026'!F24</f>
        <v>0</v>
      </c>
    </row>
    <row r="722" spans="27:27" x14ac:dyDescent="0.25">
      <c r="AA722" s="14">
        <f>'Aug 2026'!F25</f>
        <v>0</v>
      </c>
    </row>
    <row r="723" spans="27:27" x14ac:dyDescent="0.25">
      <c r="AA723" s="14">
        <f>'Aug 2026'!F26</f>
        <v>0</v>
      </c>
    </row>
    <row r="724" spans="27:27" x14ac:dyDescent="0.25">
      <c r="AA724" s="14">
        <f>'Aug 2026'!F27</f>
        <v>0</v>
      </c>
    </row>
    <row r="725" spans="27:27" x14ac:dyDescent="0.25">
      <c r="AA725" s="14">
        <f>'Aug 2026'!F28</f>
        <v>0</v>
      </c>
    </row>
    <row r="726" spans="27:27" x14ac:dyDescent="0.25">
      <c r="AA726" s="14">
        <f>'Aug 2026'!F29</f>
        <v>0</v>
      </c>
    </row>
    <row r="727" spans="27:27" x14ac:dyDescent="0.25">
      <c r="AA727" s="14">
        <f>'Aug 2026'!F30</f>
        <v>0</v>
      </c>
    </row>
    <row r="728" spans="27:27" x14ac:dyDescent="0.25">
      <c r="AA728" s="14">
        <f>'Aug 2026'!F31</f>
        <v>0</v>
      </c>
    </row>
    <row r="729" spans="27:27" x14ac:dyDescent="0.25">
      <c r="AA729" s="14">
        <f>'Aug 2026'!F32</f>
        <v>0</v>
      </c>
    </row>
    <row r="730" spans="27:27" x14ac:dyDescent="0.25">
      <c r="AA730" s="14">
        <f>'Aug 2026'!F33</f>
        <v>0</v>
      </c>
    </row>
    <row r="731" spans="27:27" x14ac:dyDescent="0.25">
      <c r="AA731" s="14">
        <f>'Aug 2026'!F34</f>
        <v>0</v>
      </c>
    </row>
    <row r="732" spans="27:27" x14ac:dyDescent="0.25">
      <c r="AA732" s="14">
        <f>'Aug 2026'!F35</f>
        <v>0</v>
      </c>
    </row>
    <row r="733" spans="27:27" x14ac:dyDescent="0.25">
      <c r="AA733" s="14">
        <f>'Aug 2026'!F36</f>
        <v>0</v>
      </c>
    </row>
    <row r="734" spans="27:27" x14ac:dyDescent="0.25">
      <c r="AA734" s="14">
        <f>'Aug 2026'!F37</f>
        <v>0</v>
      </c>
    </row>
    <row r="735" spans="27:27" x14ac:dyDescent="0.25">
      <c r="AA735" s="14">
        <f>'Aug 2026'!F38</f>
        <v>0</v>
      </c>
    </row>
    <row r="736" spans="27:27" x14ac:dyDescent="0.25">
      <c r="AA736" s="14">
        <f>'Aug 2026'!F39</f>
        <v>0</v>
      </c>
    </row>
    <row r="737" spans="27:27" x14ac:dyDescent="0.25">
      <c r="AA737" s="14">
        <f>'Aug 2026'!F40</f>
        <v>0</v>
      </c>
    </row>
    <row r="738" spans="27:27" x14ac:dyDescent="0.25">
      <c r="AA738" s="14">
        <f>'Aug 2026'!F41</f>
        <v>0</v>
      </c>
    </row>
    <row r="739" spans="27:27" x14ac:dyDescent="0.25">
      <c r="AA739" s="14">
        <f>'Aug 2026'!F42</f>
        <v>0</v>
      </c>
    </row>
    <row r="740" spans="27:27" x14ac:dyDescent="0.25">
      <c r="AA740" s="14">
        <f>'Aug 2026'!F43</f>
        <v>0</v>
      </c>
    </row>
    <row r="741" spans="27:27" x14ac:dyDescent="0.25">
      <c r="AA741" s="14">
        <f>'Aug 2026'!F44</f>
        <v>0</v>
      </c>
    </row>
    <row r="742" spans="27:27" x14ac:dyDescent="0.25">
      <c r="AA742" s="14">
        <f>'Aug 2026'!F45</f>
        <v>0</v>
      </c>
    </row>
    <row r="743" spans="27:27" x14ac:dyDescent="0.25">
      <c r="AA743" s="14">
        <f>'Aug 2026'!F46</f>
        <v>0</v>
      </c>
    </row>
    <row r="744" spans="27:27" x14ac:dyDescent="0.25">
      <c r="AA744" s="14">
        <f>'Aug 2026'!F47</f>
        <v>0</v>
      </c>
    </row>
    <row r="745" spans="27:27" x14ac:dyDescent="0.25">
      <c r="AA745" s="14">
        <f>'Aug 2026'!F48</f>
        <v>0</v>
      </c>
    </row>
    <row r="746" spans="27:27" x14ac:dyDescent="0.25">
      <c r="AA746" s="14">
        <f>'Aug 2026'!F49</f>
        <v>0</v>
      </c>
    </row>
    <row r="747" spans="27:27" x14ac:dyDescent="0.25">
      <c r="AA747" s="14">
        <f>'Aug 2026'!F50</f>
        <v>0</v>
      </c>
    </row>
    <row r="748" spans="27:27" x14ac:dyDescent="0.25">
      <c r="AA748" s="14">
        <f>'Aug 2026'!F51</f>
        <v>0</v>
      </c>
    </row>
    <row r="749" spans="27:27" x14ac:dyDescent="0.25">
      <c r="AA749" s="14">
        <f>'Aug 2026'!F52</f>
        <v>0</v>
      </c>
    </row>
    <row r="750" spans="27:27" x14ac:dyDescent="0.25">
      <c r="AA750" s="14">
        <f>'Aug 2026'!F53</f>
        <v>0</v>
      </c>
    </row>
    <row r="751" spans="27:27" x14ac:dyDescent="0.25">
      <c r="AA751" s="14">
        <f>'Aug 2026'!F54</f>
        <v>0</v>
      </c>
    </row>
    <row r="752" spans="27:27" x14ac:dyDescent="0.25">
      <c r="AA752" s="14">
        <f>'Aug 2026'!F55</f>
        <v>0</v>
      </c>
    </row>
    <row r="753" spans="27:27" x14ac:dyDescent="0.25">
      <c r="AA753" s="14">
        <f>'Aug 2026'!F56</f>
        <v>0</v>
      </c>
    </row>
    <row r="754" spans="27:27" x14ac:dyDescent="0.25">
      <c r="AA754" s="14">
        <f>'Aug 2026'!F57</f>
        <v>0</v>
      </c>
    </row>
    <row r="755" spans="27:27" x14ac:dyDescent="0.25">
      <c r="AA755" s="14">
        <f>'Aug 2026'!F58</f>
        <v>0</v>
      </c>
    </row>
    <row r="756" spans="27:27" x14ac:dyDescent="0.25">
      <c r="AA756" s="14">
        <f>'Aug 2026'!F59</f>
        <v>0</v>
      </c>
    </row>
    <row r="757" spans="27:27" x14ac:dyDescent="0.25">
      <c r="AA757" s="14">
        <f>'Aug 2026'!F60</f>
        <v>0</v>
      </c>
    </row>
    <row r="758" spans="27:27" x14ac:dyDescent="0.25">
      <c r="AA758" s="14">
        <f>'Aug 2026'!F61</f>
        <v>0</v>
      </c>
    </row>
    <row r="759" spans="27:27" x14ac:dyDescent="0.25">
      <c r="AA759" s="14">
        <f>'Aug 2026'!F62</f>
        <v>0</v>
      </c>
    </row>
    <row r="760" spans="27:27" x14ac:dyDescent="0.25">
      <c r="AA760" s="14">
        <f>'Aug 2026'!F63</f>
        <v>0</v>
      </c>
    </row>
    <row r="761" spans="27:27" x14ac:dyDescent="0.25">
      <c r="AA761" s="14">
        <f>'Aug 2026'!F64</f>
        <v>0</v>
      </c>
    </row>
    <row r="762" spans="27:27" x14ac:dyDescent="0.25">
      <c r="AA762" s="14">
        <f>'Aug 2026'!F65</f>
        <v>0</v>
      </c>
    </row>
    <row r="763" spans="27:27" x14ac:dyDescent="0.25">
      <c r="AA763" s="14">
        <f>'Aug 2026'!F66</f>
        <v>0</v>
      </c>
    </row>
    <row r="764" spans="27:27" x14ac:dyDescent="0.25">
      <c r="AA764" s="14">
        <f>'Aug 2026'!F67</f>
        <v>0</v>
      </c>
    </row>
    <row r="765" spans="27:27" x14ac:dyDescent="0.25">
      <c r="AA765" s="14">
        <f>'Aug 2026'!F68</f>
        <v>0</v>
      </c>
    </row>
    <row r="766" spans="27:27" x14ac:dyDescent="0.25">
      <c r="AA766" s="14">
        <f>'Aug 2026'!F69</f>
        <v>0</v>
      </c>
    </row>
    <row r="767" spans="27:27" x14ac:dyDescent="0.25">
      <c r="AA767" s="14">
        <f>'Aug 2026'!F70</f>
        <v>0</v>
      </c>
    </row>
    <row r="768" spans="27:27" x14ac:dyDescent="0.25">
      <c r="AA768" s="14">
        <f>'Aug 2026'!F71</f>
        <v>0</v>
      </c>
    </row>
    <row r="769" spans="27:27" x14ac:dyDescent="0.25">
      <c r="AA769" s="14">
        <f>'Aug 2026'!F72</f>
        <v>0</v>
      </c>
    </row>
    <row r="770" spans="27:27" x14ac:dyDescent="0.25">
      <c r="AA770" s="14">
        <f>'Aug 2026'!F73</f>
        <v>0</v>
      </c>
    </row>
    <row r="771" spans="27:27" x14ac:dyDescent="0.25">
      <c r="AA771" s="14">
        <f>'Aug 2026'!F74</f>
        <v>0</v>
      </c>
    </row>
    <row r="772" spans="27:27" x14ac:dyDescent="0.25">
      <c r="AA772" s="14">
        <f>'Aug 2026'!F75</f>
        <v>0</v>
      </c>
    </row>
    <row r="773" spans="27:27" x14ac:dyDescent="0.25">
      <c r="AA773" s="14">
        <f>'Aug 2026'!F76</f>
        <v>0</v>
      </c>
    </row>
    <row r="774" spans="27:27" x14ac:dyDescent="0.25">
      <c r="AA774" s="14">
        <f>'Aug 2026'!F77</f>
        <v>0</v>
      </c>
    </row>
    <row r="775" spans="27:27" x14ac:dyDescent="0.25">
      <c r="AA775" s="14">
        <f>'Aug 2026'!F78</f>
        <v>0</v>
      </c>
    </row>
    <row r="776" spans="27:27" x14ac:dyDescent="0.25">
      <c r="AA776" s="14">
        <f>'Aug 2026'!F79</f>
        <v>0</v>
      </c>
    </row>
    <row r="777" spans="27:27" x14ac:dyDescent="0.25">
      <c r="AA777" s="14">
        <f>'Aug 2026'!F80</f>
        <v>0</v>
      </c>
    </row>
    <row r="778" spans="27:27" x14ac:dyDescent="0.25">
      <c r="AA778" s="14">
        <f>'Aug 2026'!F81</f>
        <v>0</v>
      </c>
    </row>
    <row r="779" spans="27:27" x14ac:dyDescent="0.25">
      <c r="AA779" s="14">
        <f>'Aug 2026'!F82</f>
        <v>0</v>
      </c>
    </row>
    <row r="780" spans="27:27" x14ac:dyDescent="0.25">
      <c r="AA780" s="14">
        <f>'Aug 2026'!F83</f>
        <v>0</v>
      </c>
    </row>
    <row r="781" spans="27:27" x14ac:dyDescent="0.25">
      <c r="AA781" s="14">
        <f>'Aug 2026'!F84</f>
        <v>0</v>
      </c>
    </row>
    <row r="782" spans="27:27" x14ac:dyDescent="0.25">
      <c r="AA782" s="14">
        <f>'Aug 2026'!F85</f>
        <v>0</v>
      </c>
    </row>
    <row r="783" spans="27:27" x14ac:dyDescent="0.25">
      <c r="AA783" s="14">
        <f>'Aug 2026'!F86</f>
        <v>0</v>
      </c>
    </row>
    <row r="784" spans="27:27" x14ac:dyDescent="0.25">
      <c r="AA784" s="14">
        <f>'Aug 2026'!F87</f>
        <v>0</v>
      </c>
    </row>
    <row r="785" spans="27:27" x14ac:dyDescent="0.25">
      <c r="AA785" s="14">
        <f>'Aug 2026'!F88</f>
        <v>0</v>
      </c>
    </row>
    <row r="786" spans="27:27" x14ac:dyDescent="0.25">
      <c r="AA786" s="14">
        <f>'Aug 2026'!F89</f>
        <v>0</v>
      </c>
    </row>
    <row r="787" spans="27:27" x14ac:dyDescent="0.25">
      <c r="AA787" s="14">
        <f>'Aug 2026'!F90</f>
        <v>0</v>
      </c>
    </row>
    <row r="788" spans="27:27" x14ac:dyDescent="0.25">
      <c r="AA788" s="14">
        <f>'Aug 2026'!F91</f>
        <v>0</v>
      </c>
    </row>
    <row r="789" spans="27:27" x14ac:dyDescent="0.25">
      <c r="AA789" s="14">
        <f>'Aug 2026'!F92</f>
        <v>0</v>
      </c>
    </row>
    <row r="790" spans="27:27" x14ac:dyDescent="0.25">
      <c r="AA790" s="14">
        <f>'Aug 2026'!F93</f>
        <v>0</v>
      </c>
    </row>
    <row r="791" spans="27:27" x14ac:dyDescent="0.25">
      <c r="AA791" s="14">
        <f>'Aug 2026'!F94</f>
        <v>0</v>
      </c>
    </row>
    <row r="792" spans="27:27" x14ac:dyDescent="0.25">
      <c r="AA792" s="14">
        <f>'Aug 2026'!F95</f>
        <v>0</v>
      </c>
    </row>
    <row r="793" spans="27:27" x14ac:dyDescent="0.25">
      <c r="AA793" s="14">
        <f>'Aug 2026'!F96</f>
        <v>0</v>
      </c>
    </row>
    <row r="794" spans="27:27" x14ac:dyDescent="0.25">
      <c r="AA794" s="14">
        <f>'Aug 2026'!F97</f>
        <v>0</v>
      </c>
    </row>
    <row r="795" spans="27:27" x14ac:dyDescent="0.25">
      <c r="AA795" s="14">
        <f>'Aug 2026'!F98</f>
        <v>0</v>
      </c>
    </row>
    <row r="796" spans="27:27" x14ac:dyDescent="0.25">
      <c r="AA796" s="14">
        <f>'Aug 2026'!F99</f>
        <v>0</v>
      </c>
    </row>
    <row r="797" spans="27:27" x14ac:dyDescent="0.25">
      <c r="AA797" s="14">
        <f>'Aug 2026'!F100</f>
        <v>0</v>
      </c>
    </row>
    <row r="798" spans="27:27" x14ac:dyDescent="0.25">
      <c r="AA798" s="14">
        <f>'Aug 2026'!F101</f>
        <v>0</v>
      </c>
    </row>
    <row r="800" spans="27:27" x14ac:dyDescent="0.25">
      <c r="AA800" s="14">
        <f>'Sep 2026'!F2</f>
        <v>0</v>
      </c>
    </row>
    <row r="801" spans="27:27" x14ac:dyDescent="0.25">
      <c r="AA801" s="14">
        <f>'Sep 2026'!F3</f>
        <v>0</v>
      </c>
    </row>
    <row r="802" spans="27:27" x14ac:dyDescent="0.25">
      <c r="AA802" s="14">
        <f>'Sep 2026'!F4</f>
        <v>0</v>
      </c>
    </row>
    <row r="803" spans="27:27" x14ac:dyDescent="0.25">
      <c r="AA803" s="14">
        <f>'Sep 2026'!F5</f>
        <v>0</v>
      </c>
    </row>
    <row r="804" spans="27:27" x14ac:dyDescent="0.25">
      <c r="AA804" s="14">
        <f>'Sep 2026'!F6</f>
        <v>0</v>
      </c>
    </row>
    <row r="805" spans="27:27" x14ac:dyDescent="0.25">
      <c r="AA805" s="14">
        <f>'Sep 2026'!F7</f>
        <v>0</v>
      </c>
    </row>
    <row r="806" spans="27:27" x14ac:dyDescent="0.25">
      <c r="AA806" s="14">
        <f>'Sep 2026'!F8</f>
        <v>0</v>
      </c>
    </row>
    <row r="807" spans="27:27" x14ac:dyDescent="0.25">
      <c r="AA807" s="14">
        <f>'Sep 2026'!F9</f>
        <v>0</v>
      </c>
    </row>
    <row r="808" spans="27:27" x14ac:dyDescent="0.25">
      <c r="AA808" s="14">
        <f>'Sep 2026'!F10</f>
        <v>0</v>
      </c>
    </row>
    <row r="809" spans="27:27" x14ac:dyDescent="0.25">
      <c r="AA809" s="14">
        <f>'Sep 2026'!F11</f>
        <v>0</v>
      </c>
    </row>
    <row r="810" spans="27:27" x14ac:dyDescent="0.25">
      <c r="AA810" s="14">
        <f>'Sep 2026'!F12</f>
        <v>0</v>
      </c>
    </row>
    <row r="811" spans="27:27" x14ac:dyDescent="0.25">
      <c r="AA811" s="14">
        <f>'Sep 2026'!F13</f>
        <v>0</v>
      </c>
    </row>
    <row r="812" spans="27:27" x14ac:dyDescent="0.25">
      <c r="AA812" s="14">
        <f>'Sep 2026'!F14</f>
        <v>0</v>
      </c>
    </row>
    <row r="813" spans="27:27" x14ac:dyDescent="0.25">
      <c r="AA813" s="14">
        <f>'Sep 2026'!F15</f>
        <v>0</v>
      </c>
    </row>
    <row r="814" spans="27:27" x14ac:dyDescent="0.25">
      <c r="AA814" s="14">
        <f>'Sep 2026'!F16</f>
        <v>0</v>
      </c>
    </row>
    <row r="815" spans="27:27" x14ac:dyDescent="0.25">
      <c r="AA815" s="14">
        <f>'Sep 2026'!F17</f>
        <v>0</v>
      </c>
    </row>
    <row r="816" spans="27:27" x14ac:dyDescent="0.25">
      <c r="AA816" s="14">
        <f>'Sep 2026'!F18</f>
        <v>0</v>
      </c>
    </row>
    <row r="817" spans="27:27" x14ac:dyDescent="0.25">
      <c r="AA817" s="14">
        <f>'Sep 2026'!F19</f>
        <v>0</v>
      </c>
    </row>
    <row r="818" spans="27:27" x14ac:dyDescent="0.25">
      <c r="AA818" s="14">
        <f>'Sep 2026'!F20</f>
        <v>0</v>
      </c>
    </row>
    <row r="819" spans="27:27" x14ac:dyDescent="0.25">
      <c r="AA819" s="14">
        <f>'Sep 2026'!F21</f>
        <v>0</v>
      </c>
    </row>
    <row r="820" spans="27:27" x14ac:dyDescent="0.25">
      <c r="AA820" s="14">
        <f>'Sep 2026'!F22</f>
        <v>0</v>
      </c>
    </row>
    <row r="821" spans="27:27" x14ac:dyDescent="0.25">
      <c r="AA821" s="14">
        <f>'Sep 2026'!F23</f>
        <v>0</v>
      </c>
    </row>
    <row r="822" spans="27:27" x14ac:dyDescent="0.25">
      <c r="AA822" s="14">
        <f>'Sep 2026'!F24</f>
        <v>0</v>
      </c>
    </row>
    <row r="823" spans="27:27" x14ac:dyDescent="0.25">
      <c r="AA823" s="14">
        <f>'Sep 2026'!F25</f>
        <v>0</v>
      </c>
    </row>
    <row r="824" spans="27:27" x14ac:dyDescent="0.25">
      <c r="AA824" s="14">
        <f>'Sep 2026'!F26</f>
        <v>0</v>
      </c>
    </row>
    <row r="825" spans="27:27" x14ac:dyDescent="0.25">
      <c r="AA825" s="14">
        <f>'Sep 2026'!F27</f>
        <v>0</v>
      </c>
    </row>
    <row r="826" spans="27:27" x14ac:dyDescent="0.25">
      <c r="AA826" s="14">
        <f>'Sep 2026'!F28</f>
        <v>0</v>
      </c>
    </row>
    <row r="827" spans="27:27" x14ac:dyDescent="0.25">
      <c r="AA827" s="14">
        <f>'Sep 2026'!F29</f>
        <v>0</v>
      </c>
    </row>
    <row r="828" spans="27:27" x14ac:dyDescent="0.25">
      <c r="AA828" s="14">
        <f>'Sep 2026'!F30</f>
        <v>0</v>
      </c>
    </row>
    <row r="829" spans="27:27" x14ac:dyDescent="0.25">
      <c r="AA829" s="14">
        <f>'Sep 2026'!F31</f>
        <v>0</v>
      </c>
    </row>
    <row r="830" spans="27:27" x14ac:dyDescent="0.25">
      <c r="AA830" s="14">
        <f>'Sep 2026'!F32</f>
        <v>0</v>
      </c>
    </row>
    <row r="831" spans="27:27" x14ac:dyDescent="0.25">
      <c r="AA831" s="14">
        <f>'Sep 2026'!F33</f>
        <v>0</v>
      </c>
    </row>
    <row r="832" spans="27:27" x14ac:dyDescent="0.25">
      <c r="AA832" s="14">
        <f>'Sep 2026'!F34</f>
        <v>0</v>
      </c>
    </row>
    <row r="833" spans="27:27" x14ac:dyDescent="0.25">
      <c r="AA833" s="14">
        <f>'Sep 2026'!F35</f>
        <v>0</v>
      </c>
    </row>
    <row r="834" spans="27:27" x14ac:dyDescent="0.25">
      <c r="AA834" s="14">
        <f>'Sep 2026'!F36</f>
        <v>0</v>
      </c>
    </row>
    <row r="835" spans="27:27" x14ac:dyDescent="0.25">
      <c r="AA835" s="14">
        <f>'Sep 2026'!F37</f>
        <v>0</v>
      </c>
    </row>
    <row r="836" spans="27:27" x14ac:dyDescent="0.25">
      <c r="AA836" s="14">
        <f>'Sep 2026'!F38</f>
        <v>0</v>
      </c>
    </row>
    <row r="837" spans="27:27" x14ac:dyDescent="0.25">
      <c r="AA837" s="14">
        <f>'Sep 2026'!F39</f>
        <v>0</v>
      </c>
    </row>
    <row r="838" spans="27:27" x14ac:dyDescent="0.25">
      <c r="AA838" s="14">
        <f>'Sep 2026'!F40</f>
        <v>0</v>
      </c>
    </row>
    <row r="839" spans="27:27" x14ac:dyDescent="0.25">
      <c r="AA839" s="14">
        <f>'Sep 2026'!F41</f>
        <v>0</v>
      </c>
    </row>
    <row r="840" spans="27:27" x14ac:dyDescent="0.25">
      <c r="AA840" s="14">
        <f>'Sep 2026'!F42</f>
        <v>0</v>
      </c>
    </row>
    <row r="841" spans="27:27" x14ac:dyDescent="0.25">
      <c r="AA841" s="14">
        <f>'Sep 2026'!F43</f>
        <v>0</v>
      </c>
    </row>
    <row r="842" spans="27:27" x14ac:dyDescent="0.25">
      <c r="AA842" s="14">
        <f>'Sep 2026'!F44</f>
        <v>0</v>
      </c>
    </row>
    <row r="843" spans="27:27" x14ac:dyDescent="0.25">
      <c r="AA843" s="14">
        <f>'Sep 2026'!F45</f>
        <v>0</v>
      </c>
    </row>
    <row r="844" spans="27:27" x14ac:dyDescent="0.25">
      <c r="AA844" s="14">
        <f>'Sep 2026'!F46</f>
        <v>0</v>
      </c>
    </row>
    <row r="845" spans="27:27" x14ac:dyDescent="0.25">
      <c r="AA845" s="14">
        <f>'Sep 2026'!F47</f>
        <v>0</v>
      </c>
    </row>
    <row r="846" spans="27:27" x14ac:dyDescent="0.25">
      <c r="AA846" s="14">
        <f>'Sep 2026'!F48</f>
        <v>0</v>
      </c>
    </row>
    <row r="847" spans="27:27" x14ac:dyDescent="0.25">
      <c r="AA847" s="14">
        <f>'Sep 2026'!F49</f>
        <v>0</v>
      </c>
    </row>
    <row r="848" spans="27:27" x14ac:dyDescent="0.25">
      <c r="AA848" s="14">
        <f>'Sep 2026'!F50</f>
        <v>0</v>
      </c>
    </row>
    <row r="849" spans="27:27" x14ac:dyDescent="0.25">
      <c r="AA849" s="14">
        <f>'Sep 2026'!F51</f>
        <v>0</v>
      </c>
    </row>
    <row r="850" spans="27:27" x14ac:dyDescent="0.25">
      <c r="AA850" s="14">
        <f>'Sep 2026'!F52</f>
        <v>0</v>
      </c>
    </row>
    <row r="851" spans="27:27" x14ac:dyDescent="0.25">
      <c r="AA851" s="14">
        <f>'Sep 2026'!F53</f>
        <v>0</v>
      </c>
    </row>
    <row r="852" spans="27:27" x14ac:dyDescent="0.25">
      <c r="AA852" s="14">
        <f>'Sep 2026'!F54</f>
        <v>0</v>
      </c>
    </row>
    <row r="853" spans="27:27" x14ac:dyDescent="0.25">
      <c r="AA853" s="14">
        <f>'Sep 2026'!F55</f>
        <v>0</v>
      </c>
    </row>
    <row r="854" spans="27:27" x14ac:dyDescent="0.25">
      <c r="AA854" s="14">
        <f>'Sep 2026'!F56</f>
        <v>0</v>
      </c>
    </row>
    <row r="855" spans="27:27" x14ac:dyDescent="0.25">
      <c r="AA855" s="14">
        <f>'Sep 2026'!F57</f>
        <v>0</v>
      </c>
    </row>
    <row r="856" spans="27:27" x14ac:dyDescent="0.25">
      <c r="AA856" s="14">
        <f>'Sep 2026'!F58</f>
        <v>0</v>
      </c>
    </row>
    <row r="857" spans="27:27" x14ac:dyDescent="0.25">
      <c r="AA857" s="14">
        <f>'Sep 2026'!F59</f>
        <v>0</v>
      </c>
    </row>
    <row r="858" spans="27:27" x14ac:dyDescent="0.25">
      <c r="AA858" s="14">
        <f>'Sep 2026'!F60</f>
        <v>0</v>
      </c>
    </row>
    <row r="859" spans="27:27" x14ac:dyDescent="0.25">
      <c r="AA859" s="14">
        <f>'Sep 2026'!F61</f>
        <v>0</v>
      </c>
    </row>
    <row r="860" spans="27:27" x14ac:dyDescent="0.25">
      <c r="AA860" s="14">
        <f>'Sep 2026'!F62</f>
        <v>0</v>
      </c>
    </row>
    <row r="861" spans="27:27" x14ac:dyDescent="0.25">
      <c r="AA861" s="14">
        <f>'Sep 2026'!F63</f>
        <v>0</v>
      </c>
    </row>
    <row r="862" spans="27:27" x14ac:dyDescent="0.25">
      <c r="AA862" s="14">
        <f>'Sep 2026'!F64</f>
        <v>0</v>
      </c>
    </row>
    <row r="863" spans="27:27" x14ac:dyDescent="0.25">
      <c r="AA863" s="14">
        <f>'Sep 2026'!F65</f>
        <v>0</v>
      </c>
    </row>
    <row r="864" spans="27:27" x14ac:dyDescent="0.25">
      <c r="AA864" s="14">
        <f>'Sep 2026'!F66</f>
        <v>0</v>
      </c>
    </row>
    <row r="865" spans="27:27" x14ac:dyDescent="0.25">
      <c r="AA865" s="14">
        <f>'Sep 2026'!F67</f>
        <v>0</v>
      </c>
    </row>
    <row r="866" spans="27:27" x14ac:dyDescent="0.25">
      <c r="AA866" s="14">
        <f>'Sep 2026'!F68</f>
        <v>0</v>
      </c>
    </row>
    <row r="867" spans="27:27" x14ac:dyDescent="0.25">
      <c r="AA867" s="14">
        <f>'Sep 2026'!F69</f>
        <v>0</v>
      </c>
    </row>
    <row r="868" spans="27:27" x14ac:dyDescent="0.25">
      <c r="AA868" s="14">
        <f>'Sep 2026'!F70</f>
        <v>0</v>
      </c>
    </row>
    <row r="869" spans="27:27" x14ac:dyDescent="0.25">
      <c r="AA869" s="14">
        <f>'Sep 2026'!F71</f>
        <v>0</v>
      </c>
    </row>
    <row r="870" spans="27:27" x14ac:dyDescent="0.25">
      <c r="AA870" s="14">
        <f>'Sep 2026'!F72</f>
        <v>0</v>
      </c>
    </row>
    <row r="871" spans="27:27" x14ac:dyDescent="0.25">
      <c r="AA871" s="14">
        <f>'Sep 2026'!F73</f>
        <v>0</v>
      </c>
    </row>
    <row r="872" spans="27:27" x14ac:dyDescent="0.25">
      <c r="AA872" s="14">
        <f>'Sep 2026'!F74</f>
        <v>0</v>
      </c>
    </row>
    <row r="873" spans="27:27" x14ac:dyDescent="0.25">
      <c r="AA873" s="14">
        <f>'Sep 2026'!F75</f>
        <v>0</v>
      </c>
    </row>
    <row r="874" spans="27:27" x14ac:dyDescent="0.25">
      <c r="AA874" s="14">
        <f>'Sep 2026'!F76</f>
        <v>0</v>
      </c>
    </row>
    <row r="875" spans="27:27" x14ac:dyDescent="0.25">
      <c r="AA875" s="14">
        <f>'Sep 2026'!F77</f>
        <v>0</v>
      </c>
    </row>
    <row r="876" spans="27:27" x14ac:dyDescent="0.25">
      <c r="AA876" s="14">
        <f>'Sep 2026'!F78</f>
        <v>0</v>
      </c>
    </row>
    <row r="877" spans="27:27" x14ac:dyDescent="0.25">
      <c r="AA877" s="14">
        <f>'Sep 2026'!F79</f>
        <v>0</v>
      </c>
    </row>
    <row r="878" spans="27:27" x14ac:dyDescent="0.25">
      <c r="AA878" s="14">
        <f>'Sep 2026'!F80</f>
        <v>0</v>
      </c>
    </row>
    <row r="879" spans="27:27" x14ac:dyDescent="0.25">
      <c r="AA879" s="14">
        <f>'Sep 2026'!F81</f>
        <v>0</v>
      </c>
    </row>
    <row r="880" spans="27:27" x14ac:dyDescent="0.25">
      <c r="AA880" s="14">
        <f>'Sep 2026'!F82</f>
        <v>0</v>
      </c>
    </row>
    <row r="881" spans="27:27" x14ac:dyDescent="0.25">
      <c r="AA881" s="14">
        <f>'Sep 2026'!F83</f>
        <v>0</v>
      </c>
    </row>
    <row r="882" spans="27:27" x14ac:dyDescent="0.25">
      <c r="AA882" s="14">
        <f>'Sep 2026'!F84</f>
        <v>0</v>
      </c>
    </row>
    <row r="883" spans="27:27" x14ac:dyDescent="0.25">
      <c r="AA883" s="14">
        <f>'Sep 2026'!F85</f>
        <v>0</v>
      </c>
    </row>
    <row r="884" spans="27:27" x14ac:dyDescent="0.25">
      <c r="AA884" s="14">
        <f>'Sep 2026'!F86</f>
        <v>0</v>
      </c>
    </row>
    <row r="885" spans="27:27" x14ac:dyDescent="0.25">
      <c r="AA885" s="14">
        <f>'Sep 2026'!F87</f>
        <v>0</v>
      </c>
    </row>
    <row r="886" spans="27:27" x14ac:dyDescent="0.25">
      <c r="AA886" s="14">
        <f>'Sep 2026'!F88</f>
        <v>0</v>
      </c>
    </row>
    <row r="887" spans="27:27" x14ac:dyDescent="0.25">
      <c r="AA887" s="14">
        <f>'Sep 2026'!F89</f>
        <v>0</v>
      </c>
    </row>
    <row r="888" spans="27:27" x14ac:dyDescent="0.25">
      <c r="AA888" s="14">
        <f>'Sep 2026'!F90</f>
        <v>0</v>
      </c>
    </row>
    <row r="889" spans="27:27" x14ac:dyDescent="0.25">
      <c r="AA889" s="14">
        <f>'Sep 2026'!F91</f>
        <v>0</v>
      </c>
    </row>
    <row r="890" spans="27:27" x14ac:dyDescent="0.25">
      <c r="AA890" s="14">
        <f>'Sep 2026'!F92</f>
        <v>0</v>
      </c>
    </row>
    <row r="891" spans="27:27" x14ac:dyDescent="0.25">
      <c r="AA891" s="14">
        <f>'Sep 2026'!F93</f>
        <v>0</v>
      </c>
    </row>
    <row r="892" spans="27:27" x14ac:dyDescent="0.25">
      <c r="AA892" s="14">
        <f>'Sep 2026'!F94</f>
        <v>0</v>
      </c>
    </row>
    <row r="893" spans="27:27" x14ac:dyDescent="0.25">
      <c r="AA893" s="14">
        <f>'Sep 2026'!F95</f>
        <v>0</v>
      </c>
    </row>
    <row r="894" spans="27:27" x14ac:dyDescent="0.25">
      <c r="AA894" s="14">
        <f>'Sep 2026'!F96</f>
        <v>0</v>
      </c>
    </row>
    <row r="895" spans="27:27" x14ac:dyDescent="0.25">
      <c r="AA895" s="14">
        <f>'Sep 2026'!F97</f>
        <v>0</v>
      </c>
    </row>
    <row r="896" spans="27:27" x14ac:dyDescent="0.25">
      <c r="AA896" s="14">
        <f>'Sep 2026'!F98</f>
        <v>0</v>
      </c>
    </row>
    <row r="897" spans="27:27" x14ac:dyDescent="0.25">
      <c r="AA897" s="14">
        <f>'Sep 2026'!F99</f>
        <v>0</v>
      </c>
    </row>
    <row r="898" spans="27:27" x14ac:dyDescent="0.25">
      <c r="AA898" s="14">
        <f>'Sep 2026'!F100</f>
        <v>0</v>
      </c>
    </row>
    <row r="899" spans="27:27" x14ac:dyDescent="0.25">
      <c r="AA899" s="14">
        <f>'Sep 2026'!F101</f>
        <v>0</v>
      </c>
    </row>
    <row r="901" spans="27:27" x14ac:dyDescent="0.25">
      <c r="AA901" s="14">
        <f>'Oct 2026'!F2</f>
        <v>0</v>
      </c>
    </row>
    <row r="902" spans="27:27" x14ac:dyDescent="0.25">
      <c r="AA902" s="14">
        <f>'Oct 2026'!F3</f>
        <v>0</v>
      </c>
    </row>
    <row r="903" spans="27:27" x14ac:dyDescent="0.25">
      <c r="AA903" s="14">
        <f>'Oct 2026'!F4</f>
        <v>0</v>
      </c>
    </row>
    <row r="904" spans="27:27" x14ac:dyDescent="0.25">
      <c r="AA904" s="14">
        <f>'Oct 2026'!F5</f>
        <v>0</v>
      </c>
    </row>
    <row r="905" spans="27:27" x14ac:dyDescent="0.25">
      <c r="AA905" s="14">
        <f>'Oct 2026'!F6</f>
        <v>0</v>
      </c>
    </row>
    <row r="906" spans="27:27" x14ac:dyDescent="0.25">
      <c r="AA906" s="14">
        <f>'Oct 2026'!F7</f>
        <v>0</v>
      </c>
    </row>
    <row r="907" spans="27:27" x14ac:dyDescent="0.25">
      <c r="AA907" s="14">
        <f>'Oct 2026'!F8</f>
        <v>0</v>
      </c>
    </row>
    <row r="908" spans="27:27" x14ac:dyDescent="0.25">
      <c r="AA908" s="14">
        <f>'Oct 2026'!F9</f>
        <v>0</v>
      </c>
    </row>
    <row r="909" spans="27:27" x14ac:dyDescent="0.25">
      <c r="AA909" s="14">
        <f>'Oct 2026'!F10</f>
        <v>0</v>
      </c>
    </row>
    <row r="910" spans="27:27" x14ac:dyDescent="0.25">
      <c r="AA910" s="14">
        <f>'Oct 2026'!F11</f>
        <v>0</v>
      </c>
    </row>
    <row r="911" spans="27:27" x14ac:dyDescent="0.25">
      <c r="AA911" s="14">
        <f>'Oct 2026'!F12</f>
        <v>0</v>
      </c>
    </row>
    <row r="912" spans="27:27" x14ac:dyDescent="0.25">
      <c r="AA912" s="14">
        <f>'Oct 2026'!F13</f>
        <v>0</v>
      </c>
    </row>
    <row r="913" spans="27:27" x14ac:dyDescent="0.25">
      <c r="AA913" s="14">
        <f>'Oct 2026'!F14</f>
        <v>0</v>
      </c>
    </row>
    <row r="914" spans="27:27" x14ac:dyDescent="0.25">
      <c r="AA914" s="14">
        <f>'Oct 2026'!F15</f>
        <v>0</v>
      </c>
    </row>
    <row r="915" spans="27:27" x14ac:dyDescent="0.25">
      <c r="AA915" s="14">
        <f>'Oct 2026'!F16</f>
        <v>0</v>
      </c>
    </row>
    <row r="916" spans="27:27" x14ac:dyDescent="0.25">
      <c r="AA916" s="14">
        <f>'Oct 2026'!F17</f>
        <v>0</v>
      </c>
    </row>
    <row r="917" spans="27:27" x14ac:dyDescent="0.25">
      <c r="AA917" s="14">
        <f>'Oct 2026'!F18</f>
        <v>0</v>
      </c>
    </row>
    <row r="918" spans="27:27" x14ac:dyDescent="0.25">
      <c r="AA918" s="14">
        <f>'Oct 2026'!F19</f>
        <v>0</v>
      </c>
    </row>
    <row r="919" spans="27:27" x14ac:dyDescent="0.25">
      <c r="AA919" s="14">
        <f>'Oct 2026'!F20</f>
        <v>0</v>
      </c>
    </row>
    <row r="920" spans="27:27" x14ac:dyDescent="0.25">
      <c r="AA920" s="14">
        <f>'Oct 2026'!F21</f>
        <v>0</v>
      </c>
    </row>
    <row r="921" spans="27:27" x14ac:dyDescent="0.25">
      <c r="AA921" s="14">
        <f>'Oct 2026'!F22</f>
        <v>0</v>
      </c>
    </row>
    <row r="922" spans="27:27" x14ac:dyDescent="0.25">
      <c r="AA922" s="14">
        <f>'Oct 2026'!F23</f>
        <v>0</v>
      </c>
    </row>
    <row r="923" spans="27:27" x14ac:dyDescent="0.25">
      <c r="AA923" s="14">
        <f>'Oct 2026'!F24</f>
        <v>0</v>
      </c>
    </row>
    <row r="924" spans="27:27" x14ac:dyDescent="0.25">
      <c r="AA924" s="14">
        <f>'Oct 2026'!F25</f>
        <v>0</v>
      </c>
    </row>
    <row r="925" spans="27:27" x14ac:dyDescent="0.25">
      <c r="AA925" s="14">
        <f>'Oct 2026'!F26</f>
        <v>0</v>
      </c>
    </row>
    <row r="926" spans="27:27" x14ac:dyDescent="0.25">
      <c r="AA926" s="14">
        <f>'Oct 2026'!F27</f>
        <v>0</v>
      </c>
    </row>
    <row r="927" spans="27:27" x14ac:dyDescent="0.25">
      <c r="AA927" s="14">
        <f>'Oct 2026'!F28</f>
        <v>0</v>
      </c>
    </row>
    <row r="928" spans="27:27" x14ac:dyDescent="0.25">
      <c r="AA928" s="14">
        <f>'Oct 2026'!F29</f>
        <v>0</v>
      </c>
    </row>
    <row r="929" spans="27:27" x14ac:dyDescent="0.25">
      <c r="AA929" s="14">
        <f>'Oct 2026'!F30</f>
        <v>0</v>
      </c>
    </row>
    <row r="930" spans="27:27" x14ac:dyDescent="0.25">
      <c r="AA930" s="14">
        <f>'Oct 2026'!F31</f>
        <v>0</v>
      </c>
    </row>
    <row r="931" spans="27:27" x14ac:dyDescent="0.25">
      <c r="AA931" s="14">
        <f>'Oct 2026'!F32</f>
        <v>0</v>
      </c>
    </row>
    <row r="932" spans="27:27" x14ac:dyDescent="0.25">
      <c r="AA932" s="14">
        <f>'Oct 2026'!F33</f>
        <v>0</v>
      </c>
    </row>
    <row r="933" spans="27:27" x14ac:dyDescent="0.25">
      <c r="AA933" s="14">
        <f>'Oct 2026'!F34</f>
        <v>0</v>
      </c>
    </row>
    <row r="934" spans="27:27" x14ac:dyDescent="0.25">
      <c r="AA934" s="14">
        <f>'Oct 2026'!F35</f>
        <v>0</v>
      </c>
    </row>
    <row r="935" spans="27:27" x14ac:dyDescent="0.25">
      <c r="AA935" s="14">
        <f>'Oct 2026'!F36</f>
        <v>0</v>
      </c>
    </row>
    <row r="936" spans="27:27" x14ac:dyDescent="0.25">
      <c r="AA936" s="14">
        <f>'Oct 2026'!F37</f>
        <v>0</v>
      </c>
    </row>
    <row r="937" spans="27:27" x14ac:dyDescent="0.25">
      <c r="AA937" s="14">
        <f>'Oct 2026'!F38</f>
        <v>0</v>
      </c>
    </row>
    <row r="938" spans="27:27" x14ac:dyDescent="0.25">
      <c r="AA938" s="14">
        <f>'Oct 2026'!F39</f>
        <v>0</v>
      </c>
    </row>
    <row r="939" spans="27:27" x14ac:dyDescent="0.25">
      <c r="AA939" s="14">
        <f>'Oct 2026'!F40</f>
        <v>0</v>
      </c>
    </row>
    <row r="940" spans="27:27" x14ac:dyDescent="0.25">
      <c r="AA940" s="14">
        <f>'Oct 2026'!F41</f>
        <v>0</v>
      </c>
    </row>
    <row r="941" spans="27:27" x14ac:dyDescent="0.25">
      <c r="AA941" s="14">
        <f>'Oct 2026'!F42</f>
        <v>0</v>
      </c>
    </row>
    <row r="942" spans="27:27" x14ac:dyDescent="0.25">
      <c r="AA942" s="14">
        <f>'Oct 2026'!F43</f>
        <v>0</v>
      </c>
    </row>
    <row r="943" spans="27:27" x14ac:dyDescent="0.25">
      <c r="AA943" s="14">
        <f>'Oct 2026'!F44</f>
        <v>0</v>
      </c>
    </row>
    <row r="944" spans="27:27" x14ac:dyDescent="0.25">
      <c r="AA944" s="14">
        <f>'Oct 2026'!F45</f>
        <v>0</v>
      </c>
    </row>
    <row r="945" spans="27:27" x14ac:dyDescent="0.25">
      <c r="AA945" s="14">
        <f>'Oct 2026'!F46</f>
        <v>0</v>
      </c>
    </row>
    <row r="946" spans="27:27" x14ac:dyDescent="0.25">
      <c r="AA946" s="14">
        <f>'Oct 2026'!F47</f>
        <v>0</v>
      </c>
    </row>
    <row r="947" spans="27:27" x14ac:dyDescent="0.25">
      <c r="AA947" s="14">
        <f>'Oct 2026'!F48</f>
        <v>0</v>
      </c>
    </row>
    <row r="948" spans="27:27" x14ac:dyDescent="0.25">
      <c r="AA948" s="14">
        <f>'Oct 2026'!F49</f>
        <v>0</v>
      </c>
    </row>
    <row r="949" spans="27:27" x14ac:dyDescent="0.25">
      <c r="AA949" s="14">
        <f>'Oct 2026'!F50</f>
        <v>0</v>
      </c>
    </row>
    <row r="950" spans="27:27" x14ac:dyDescent="0.25">
      <c r="AA950" s="14">
        <f>'Oct 2026'!F51</f>
        <v>0</v>
      </c>
    </row>
    <row r="951" spans="27:27" x14ac:dyDescent="0.25">
      <c r="AA951" s="14">
        <f>'Oct 2026'!F52</f>
        <v>0</v>
      </c>
    </row>
    <row r="952" spans="27:27" x14ac:dyDescent="0.25">
      <c r="AA952" s="14">
        <f>'Oct 2026'!F53</f>
        <v>0</v>
      </c>
    </row>
    <row r="953" spans="27:27" x14ac:dyDescent="0.25">
      <c r="AA953" s="14">
        <f>'Oct 2026'!F54</f>
        <v>0</v>
      </c>
    </row>
    <row r="954" spans="27:27" x14ac:dyDescent="0.25">
      <c r="AA954" s="14">
        <f>'Oct 2026'!F55</f>
        <v>0</v>
      </c>
    </row>
    <row r="955" spans="27:27" x14ac:dyDescent="0.25">
      <c r="AA955" s="14">
        <f>'Oct 2026'!F56</f>
        <v>0</v>
      </c>
    </row>
    <row r="956" spans="27:27" x14ac:dyDescent="0.25">
      <c r="AA956" s="14">
        <f>'Oct 2026'!F57</f>
        <v>0</v>
      </c>
    </row>
    <row r="957" spans="27:27" x14ac:dyDescent="0.25">
      <c r="AA957" s="14">
        <f>'Oct 2026'!F58</f>
        <v>0</v>
      </c>
    </row>
    <row r="958" spans="27:27" x14ac:dyDescent="0.25">
      <c r="AA958" s="14">
        <f>'Oct 2026'!F59</f>
        <v>0</v>
      </c>
    </row>
    <row r="959" spans="27:27" x14ac:dyDescent="0.25">
      <c r="AA959" s="14">
        <f>'Oct 2026'!F60</f>
        <v>0</v>
      </c>
    </row>
    <row r="960" spans="27:27" x14ac:dyDescent="0.25">
      <c r="AA960" s="14">
        <f>'Oct 2026'!F61</f>
        <v>0</v>
      </c>
    </row>
    <row r="961" spans="27:27" x14ac:dyDescent="0.25">
      <c r="AA961" s="14">
        <f>'Oct 2026'!F62</f>
        <v>0</v>
      </c>
    </row>
    <row r="962" spans="27:27" x14ac:dyDescent="0.25">
      <c r="AA962" s="14">
        <f>'Oct 2026'!F63</f>
        <v>0</v>
      </c>
    </row>
    <row r="963" spans="27:27" x14ac:dyDescent="0.25">
      <c r="AA963" s="14">
        <f>'Oct 2026'!F64</f>
        <v>0</v>
      </c>
    </row>
    <row r="964" spans="27:27" x14ac:dyDescent="0.25">
      <c r="AA964" s="14">
        <f>'Oct 2026'!F65</f>
        <v>0</v>
      </c>
    </row>
    <row r="965" spans="27:27" x14ac:dyDescent="0.25">
      <c r="AA965" s="14">
        <f>'Oct 2026'!F66</f>
        <v>0</v>
      </c>
    </row>
    <row r="966" spans="27:27" x14ac:dyDescent="0.25">
      <c r="AA966" s="14">
        <f>'Oct 2026'!F67</f>
        <v>0</v>
      </c>
    </row>
    <row r="967" spans="27:27" x14ac:dyDescent="0.25">
      <c r="AA967" s="14">
        <f>'Oct 2026'!F68</f>
        <v>0</v>
      </c>
    </row>
    <row r="968" spans="27:27" x14ac:dyDescent="0.25">
      <c r="AA968" s="14">
        <f>'Oct 2026'!F69</f>
        <v>0</v>
      </c>
    </row>
    <row r="969" spans="27:27" x14ac:dyDescent="0.25">
      <c r="AA969" s="14">
        <f>'Oct 2026'!F70</f>
        <v>0</v>
      </c>
    </row>
    <row r="970" spans="27:27" x14ac:dyDescent="0.25">
      <c r="AA970" s="14">
        <f>'Oct 2026'!F71</f>
        <v>0</v>
      </c>
    </row>
    <row r="971" spans="27:27" x14ac:dyDescent="0.25">
      <c r="AA971" s="14">
        <f>'Oct 2026'!F72</f>
        <v>0</v>
      </c>
    </row>
    <row r="972" spans="27:27" x14ac:dyDescent="0.25">
      <c r="AA972" s="14">
        <f>'Oct 2026'!F73</f>
        <v>0</v>
      </c>
    </row>
    <row r="973" spans="27:27" x14ac:dyDescent="0.25">
      <c r="AA973" s="14">
        <f>'Oct 2026'!F74</f>
        <v>0</v>
      </c>
    </row>
    <row r="974" spans="27:27" x14ac:dyDescent="0.25">
      <c r="AA974" s="14">
        <f>'Oct 2026'!F75</f>
        <v>0</v>
      </c>
    </row>
    <row r="975" spans="27:27" x14ac:dyDescent="0.25">
      <c r="AA975" s="14">
        <f>'Oct 2026'!F76</f>
        <v>0</v>
      </c>
    </row>
    <row r="976" spans="27:27" x14ac:dyDescent="0.25">
      <c r="AA976" s="14">
        <f>'Oct 2026'!F77</f>
        <v>0</v>
      </c>
    </row>
    <row r="977" spans="27:27" x14ac:dyDescent="0.25">
      <c r="AA977" s="14">
        <f>'Oct 2026'!F78</f>
        <v>0</v>
      </c>
    </row>
    <row r="978" spans="27:27" x14ac:dyDescent="0.25">
      <c r="AA978" s="14">
        <f>'Oct 2026'!F79</f>
        <v>0</v>
      </c>
    </row>
    <row r="979" spans="27:27" x14ac:dyDescent="0.25">
      <c r="AA979" s="14">
        <f>'Oct 2026'!F80</f>
        <v>0</v>
      </c>
    </row>
    <row r="980" spans="27:27" x14ac:dyDescent="0.25">
      <c r="AA980" s="14">
        <f>'Oct 2026'!F81</f>
        <v>0</v>
      </c>
    </row>
    <row r="981" spans="27:27" x14ac:dyDescent="0.25">
      <c r="AA981" s="14">
        <f>'Oct 2026'!F82</f>
        <v>0</v>
      </c>
    </row>
    <row r="982" spans="27:27" x14ac:dyDescent="0.25">
      <c r="AA982" s="14">
        <f>'Oct 2026'!F83</f>
        <v>0</v>
      </c>
    </row>
    <row r="983" spans="27:27" x14ac:dyDescent="0.25">
      <c r="AA983" s="14">
        <f>'Oct 2026'!F84</f>
        <v>0</v>
      </c>
    </row>
    <row r="984" spans="27:27" x14ac:dyDescent="0.25">
      <c r="AA984" s="14">
        <f>'Oct 2026'!F85</f>
        <v>0</v>
      </c>
    </row>
    <row r="985" spans="27:27" x14ac:dyDescent="0.25">
      <c r="AA985" s="14">
        <f>'Oct 2026'!F86</f>
        <v>0</v>
      </c>
    </row>
    <row r="986" spans="27:27" x14ac:dyDescent="0.25">
      <c r="AA986" s="14">
        <f>'Oct 2026'!F87</f>
        <v>0</v>
      </c>
    </row>
    <row r="987" spans="27:27" x14ac:dyDescent="0.25">
      <c r="AA987" s="14">
        <f>'Oct 2026'!F88</f>
        <v>0</v>
      </c>
    </row>
    <row r="988" spans="27:27" x14ac:dyDescent="0.25">
      <c r="AA988" s="14">
        <f>'Oct 2026'!F89</f>
        <v>0</v>
      </c>
    </row>
    <row r="989" spans="27:27" x14ac:dyDescent="0.25">
      <c r="AA989" s="14">
        <f>'Oct 2026'!F90</f>
        <v>0</v>
      </c>
    </row>
    <row r="990" spans="27:27" x14ac:dyDescent="0.25">
      <c r="AA990" s="14">
        <f>'Oct 2026'!F91</f>
        <v>0</v>
      </c>
    </row>
    <row r="991" spans="27:27" x14ac:dyDescent="0.25">
      <c r="AA991" s="14">
        <f>'Oct 2026'!F92</f>
        <v>0</v>
      </c>
    </row>
    <row r="992" spans="27:27" x14ac:dyDescent="0.25">
      <c r="AA992" s="14">
        <f>'Oct 2026'!F93</f>
        <v>0</v>
      </c>
    </row>
    <row r="993" spans="27:27" x14ac:dyDescent="0.25">
      <c r="AA993" s="14">
        <f>'Oct 2026'!F94</f>
        <v>0</v>
      </c>
    </row>
    <row r="994" spans="27:27" x14ac:dyDescent="0.25">
      <c r="AA994" s="14">
        <f>'Oct 2026'!F95</f>
        <v>0</v>
      </c>
    </row>
    <row r="995" spans="27:27" x14ac:dyDescent="0.25">
      <c r="AA995" s="14">
        <f>'Oct 2026'!F96</f>
        <v>0</v>
      </c>
    </row>
    <row r="996" spans="27:27" x14ac:dyDescent="0.25">
      <c r="AA996" s="14">
        <f>'Oct 2026'!F97</f>
        <v>0</v>
      </c>
    </row>
    <row r="997" spans="27:27" x14ac:dyDescent="0.25">
      <c r="AA997" s="14">
        <f>'Oct 2026'!F98</f>
        <v>0</v>
      </c>
    </row>
    <row r="998" spans="27:27" x14ac:dyDescent="0.25">
      <c r="AA998" s="14">
        <f>'Oct 2026'!F99</f>
        <v>0</v>
      </c>
    </row>
    <row r="999" spans="27:27" x14ac:dyDescent="0.25">
      <c r="AA999" s="14">
        <f>'Oct 2026'!F100</f>
        <v>0</v>
      </c>
    </row>
    <row r="1000" spans="27:27" x14ac:dyDescent="0.25">
      <c r="AA1000" s="14">
        <f>'Oct 2026'!F101</f>
        <v>0</v>
      </c>
    </row>
    <row r="1002" spans="27:27" x14ac:dyDescent="0.25">
      <c r="AA1002" s="14">
        <f>'Nov 2026'!F2</f>
        <v>0</v>
      </c>
    </row>
    <row r="1003" spans="27:27" x14ac:dyDescent="0.25">
      <c r="AA1003" s="14">
        <f>'Nov 2026'!F3</f>
        <v>0</v>
      </c>
    </row>
    <row r="1004" spans="27:27" x14ac:dyDescent="0.25">
      <c r="AA1004" s="14">
        <f>'Nov 2026'!F4</f>
        <v>0</v>
      </c>
    </row>
    <row r="1005" spans="27:27" x14ac:dyDescent="0.25">
      <c r="AA1005" s="14">
        <f>'Nov 2026'!F5</f>
        <v>0</v>
      </c>
    </row>
    <row r="1006" spans="27:27" x14ac:dyDescent="0.25">
      <c r="AA1006" s="14">
        <f>'Nov 2026'!F6</f>
        <v>0</v>
      </c>
    </row>
    <row r="1007" spans="27:27" x14ac:dyDescent="0.25">
      <c r="AA1007" s="14">
        <f>'Nov 2026'!F7</f>
        <v>0</v>
      </c>
    </row>
    <row r="1008" spans="27:27" x14ac:dyDescent="0.25">
      <c r="AA1008" s="14">
        <f>'Nov 2026'!F8</f>
        <v>0</v>
      </c>
    </row>
    <row r="1009" spans="27:27" x14ac:dyDescent="0.25">
      <c r="AA1009" s="14">
        <f>'Nov 2026'!F9</f>
        <v>0</v>
      </c>
    </row>
    <row r="1010" spans="27:27" x14ac:dyDescent="0.25">
      <c r="AA1010" s="14">
        <f>'Nov 2026'!F10</f>
        <v>0</v>
      </c>
    </row>
    <row r="1011" spans="27:27" x14ac:dyDescent="0.25">
      <c r="AA1011" s="14">
        <f>'Nov 2026'!F11</f>
        <v>0</v>
      </c>
    </row>
    <row r="1012" spans="27:27" x14ac:dyDescent="0.25">
      <c r="AA1012" s="14">
        <f>'Nov 2026'!F12</f>
        <v>0</v>
      </c>
    </row>
    <row r="1013" spans="27:27" x14ac:dyDescent="0.25">
      <c r="AA1013" s="14">
        <f>'Nov 2026'!F13</f>
        <v>0</v>
      </c>
    </row>
    <row r="1014" spans="27:27" x14ac:dyDescent="0.25">
      <c r="AA1014" s="14">
        <f>'Nov 2026'!F14</f>
        <v>0</v>
      </c>
    </row>
    <row r="1015" spans="27:27" x14ac:dyDescent="0.25">
      <c r="AA1015" s="14">
        <f>'Nov 2026'!F15</f>
        <v>0</v>
      </c>
    </row>
    <row r="1016" spans="27:27" x14ac:dyDescent="0.25">
      <c r="AA1016" s="14">
        <f>'Nov 2026'!F16</f>
        <v>0</v>
      </c>
    </row>
    <row r="1017" spans="27:27" x14ac:dyDescent="0.25">
      <c r="AA1017" s="14">
        <f>'Nov 2026'!F17</f>
        <v>0</v>
      </c>
    </row>
    <row r="1018" spans="27:27" x14ac:dyDescent="0.25">
      <c r="AA1018" s="14">
        <f>'Nov 2026'!F18</f>
        <v>0</v>
      </c>
    </row>
    <row r="1019" spans="27:27" x14ac:dyDescent="0.25">
      <c r="AA1019" s="14">
        <f>'Nov 2026'!F19</f>
        <v>0</v>
      </c>
    </row>
    <row r="1020" spans="27:27" x14ac:dyDescent="0.25">
      <c r="AA1020" s="14">
        <f>'Nov 2026'!F20</f>
        <v>0</v>
      </c>
    </row>
    <row r="1021" spans="27:27" x14ac:dyDescent="0.25">
      <c r="AA1021" s="14">
        <f>'Nov 2026'!F21</f>
        <v>0</v>
      </c>
    </row>
    <row r="1022" spans="27:27" x14ac:dyDescent="0.25">
      <c r="AA1022" s="14">
        <f>'Nov 2026'!F22</f>
        <v>0</v>
      </c>
    </row>
    <row r="1023" spans="27:27" x14ac:dyDescent="0.25">
      <c r="AA1023" s="14">
        <f>'Nov 2026'!F23</f>
        <v>0</v>
      </c>
    </row>
    <row r="1024" spans="27:27" x14ac:dyDescent="0.25">
      <c r="AA1024" s="14">
        <f>'Nov 2026'!F24</f>
        <v>0</v>
      </c>
    </row>
    <row r="1025" spans="27:27" x14ac:dyDescent="0.25">
      <c r="AA1025" s="14">
        <f>'Nov 2026'!F25</f>
        <v>0</v>
      </c>
    </row>
    <row r="1026" spans="27:27" x14ac:dyDescent="0.25">
      <c r="AA1026" s="14">
        <f>'Nov 2026'!F26</f>
        <v>0</v>
      </c>
    </row>
    <row r="1027" spans="27:27" x14ac:dyDescent="0.25">
      <c r="AA1027" s="14">
        <f>'Nov 2026'!F27</f>
        <v>0</v>
      </c>
    </row>
    <row r="1028" spans="27:27" x14ac:dyDescent="0.25">
      <c r="AA1028" s="14">
        <f>'Nov 2026'!F28</f>
        <v>0</v>
      </c>
    </row>
    <row r="1029" spans="27:27" x14ac:dyDescent="0.25">
      <c r="AA1029" s="14">
        <f>'Nov 2026'!F29</f>
        <v>0</v>
      </c>
    </row>
    <row r="1030" spans="27:27" x14ac:dyDescent="0.25">
      <c r="AA1030" s="14">
        <f>'Nov 2026'!F30</f>
        <v>0</v>
      </c>
    </row>
    <row r="1031" spans="27:27" x14ac:dyDescent="0.25">
      <c r="AA1031" s="14">
        <f>'Nov 2026'!F31</f>
        <v>0</v>
      </c>
    </row>
    <row r="1032" spans="27:27" x14ac:dyDescent="0.25">
      <c r="AA1032" s="14">
        <f>'Nov 2026'!F32</f>
        <v>0</v>
      </c>
    </row>
    <row r="1033" spans="27:27" x14ac:dyDescent="0.25">
      <c r="AA1033" s="14">
        <f>'Nov 2026'!F33</f>
        <v>0</v>
      </c>
    </row>
    <row r="1034" spans="27:27" x14ac:dyDescent="0.25">
      <c r="AA1034" s="14">
        <f>'Nov 2026'!F34</f>
        <v>0</v>
      </c>
    </row>
    <row r="1035" spans="27:27" x14ac:dyDescent="0.25">
      <c r="AA1035" s="14">
        <f>'Nov 2026'!F35</f>
        <v>0</v>
      </c>
    </row>
    <row r="1036" spans="27:27" x14ac:dyDescent="0.25">
      <c r="AA1036" s="14">
        <f>'Nov 2026'!F36</f>
        <v>0</v>
      </c>
    </row>
    <row r="1037" spans="27:27" x14ac:dyDescent="0.25">
      <c r="AA1037" s="14">
        <f>'Nov 2026'!F37</f>
        <v>0</v>
      </c>
    </row>
    <row r="1038" spans="27:27" x14ac:dyDescent="0.25">
      <c r="AA1038" s="14">
        <f>'Nov 2026'!F38</f>
        <v>0</v>
      </c>
    </row>
    <row r="1039" spans="27:27" x14ac:dyDescent="0.25">
      <c r="AA1039" s="14">
        <f>'Nov 2026'!F39</f>
        <v>0</v>
      </c>
    </row>
    <row r="1040" spans="27:27" x14ac:dyDescent="0.25">
      <c r="AA1040" s="14">
        <f>'Nov 2026'!F40</f>
        <v>0</v>
      </c>
    </row>
    <row r="1041" spans="27:27" x14ac:dyDescent="0.25">
      <c r="AA1041" s="14">
        <f>'Nov 2026'!F41</f>
        <v>0</v>
      </c>
    </row>
    <row r="1042" spans="27:27" x14ac:dyDescent="0.25">
      <c r="AA1042" s="14">
        <f>'Nov 2026'!F42</f>
        <v>0</v>
      </c>
    </row>
    <row r="1043" spans="27:27" x14ac:dyDescent="0.25">
      <c r="AA1043" s="14">
        <f>'Nov 2026'!F43</f>
        <v>0</v>
      </c>
    </row>
    <row r="1044" spans="27:27" x14ac:dyDescent="0.25">
      <c r="AA1044" s="14">
        <f>'Nov 2026'!F44</f>
        <v>0</v>
      </c>
    </row>
    <row r="1045" spans="27:27" x14ac:dyDescent="0.25">
      <c r="AA1045" s="14">
        <f>'Nov 2026'!F45</f>
        <v>0</v>
      </c>
    </row>
    <row r="1046" spans="27:27" x14ac:dyDescent="0.25">
      <c r="AA1046" s="14">
        <f>'Nov 2026'!F46</f>
        <v>0</v>
      </c>
    </row>
    <row r="1047" spans="27:27" x14ac:dyDescent="0.25">
      <c r="AA1047" s="14">
        <f>'Nov 2026'!F47</f>
        <v>0</v>
      </c>
    </row>
    <row r="1048" spans="27:27" x14ac:dyDescent="0.25">
      <c r="AA1048" s="14">
        <f>'Nov 2026'!F48</f>
        <v>0</v>
      </c>
    </row>
    <row r="1049" spans="27:27" x14ac:dyDescent="0.25">
      <c r="AA1049" s="14">
        <f>'Nov 2026'!F49</f>
        <v>0</v>
      </c>
    </row>
    <row r="1050" spans="27:27" x14ac:dyDescent="0.25">
      <c r="AA1050" s="14">
        <f>'Nov 2026'!F50</f>
        <v>0</v>
      </c>
    </row>
    <row r="1051" spans="27:27" x14ac:dyDescent="0.25">
      <c r="AA1051" s="14">
        <f>'Nov 2026'!F51</f>
        <v>0</v>
      </c>
    </row>
    <row r="1052" spans="27:27" x14ac:dyDescent="0.25">
      <c r="AA1052" s="14">
        <f>'Nov 2026'!F52</f>
        <v>0</v>
      </c>
    </row>
    <row r="1053" spans="27:27" x14ac:dyDescent="0.25">
      <c r="AA1053" s="14">
        <f>'Nov 2026'!F53</f>
        <v>0</v>
      </c>
    </row>
    <row r="1054" spans="27:27" x14ac:dyDescent="0.25">
      <c r="AA1054" s="14">
        <f>'Nov 2026'!F54</f>
        <v>0</v>
      </c>
    </row>
    <row r="1055" spans="27:27" x14ac:dyDescent="0.25">
      <c r="AA1055" s="14">
        <f>'Nov 2026'!F55</f>
        <v>0</v>
      </c>
    </row>
    <row r="1056" spans="27:27" x14ac:dyDescent="0.25">
      <c r="AA1056" s="14">
        <f>'Nov 2026'!F56</f>
        <v>0</v>
      </c>
    </row>
    <row r="1057" spans="27:27" x14ac:dyDescent="0.25">
      <c r="AA1057" s="14">
        <f>'Nov 2026'!F57</f>
        <v>0</v>
      </c>
    </row>
    <row r="1058" spans="27:27" x14ac:dyDescent="0.25">
      <c r="AA1058" s="14">
        <f>'Nov 2026'!F58</f>
        <v>0</v>
      </c>
    </row>
    <row r="1059" spans="27:27" x14ac:dyDescent="0.25">
      <c r="AA1059" s="14">
        <f>'Nov 2026'!F59</f>
        <v>0</v>
      </c>
    </row>
    <row r="1060" spans="27:27" x14ac:dyDescent="0.25">
      <c r="AA1060" s="14">
        <f>'Nov 2026'!F60</f>
        <v>0</v>
      </c>
    </row>
    <row r="1061" spans="27:27" x14ac:dyDescent="0.25">
      <c r="AA1061" s="14">
        <f>'Nov 2026'!F61</f>
        <v>0</v>
      </c>
    </row>
    <row r="1062" spans="27:27" x14ac:dyDescent="0.25">
      <c r="AA1062" s="14">
        <f>'Nov 2026'!F62</f>
        <v>0</v>
      </c>
    </row>
    <row r="1063" spans="27:27" x14ac:dyDescent="0.25">
      <c r="AA1063" s="14">
        <f>'Nov 2026'!F63</f>
        <v>0</v>
      </c>
    </row>
    <row r="1064" spans="27:27" x14ac:dyDescent="0.25">
      <c r="AA1064" s="14">
        <f>'Nov 2026'!F64</f>
        <v>0</v>
      </c>
    </row>
    <row r="1065" spans="27:27" x14ac:dyDescent="0.25">
      <c r="AA1065" s="14">
        <f>'Nov 2026'!F65</f>
        <v>0</v>
      </c>
    </row>
    <row r="1066" spans="27:27" x14ac:dyDescent="0.25">
      <c r="AA1066" s="14">
        <f>'Nov 2026'!F66</f>
        <v>0</v>
      </c>
    </row>
    <row r="1067" spans="27:27" x14ac:dyDescent="0.25">
      <c r="AA1067" s="14">
        <f>'Nov 2026'!F67</f>
        <v>0</v>
      </c>
    </row>
    <row r="1068" spans="27:27" x14ac:dyDescent="0.25">
      <c r="AA1068" s="14">
        <f>'Nov 2026'!F68</f>
        <v>0</v>
      </c>
    </row>
    <row r="1069" spans="27:27" x14ac:dyDescent="0.25">
      <c r="AA1069" s="14">
        <f>'Nov 2026'!F69</f>
        <v>0</v>
      </c>
    </row>
    <row r="1070" spans="27:27" x14ac:dyDescent="0.25">
      <c r="AA1070" s="14">
        <f>'Nov 2026'!F70</f>
        <v>0</v>
      </c>
    </row>
    <row r="1071" spans="27:27" x14ac:dyDescent="0.25">
      <c r="AA1071" s="14">
        <f>'Nov 2026'!F71</f>
        <v>0</v>
      </c>
    </row>
    <row r="1072" spans="27:27" x14ac:dyDescent="0.25">
      <c r="AA1072" s="14">
        <f>'Nov 2026'!F72</f>
        <v>0</v>
      </c>
    </row>
    <row r="1073" spans="27:27" x14ac:dyDescent="0.25">
      <c r="AA1073" s="14">
        <f>'Nov 2026'!F73</f>
        <v>0</v>
      </c>
    </row>
    <row r="1074" spans="27:27" x14ac:dyDescent="0.25">
      <c r="AA1074" s="14">
        <f>'Nov 2026'!F74</f>
        <v>0</v>
      </c>
    </row>
    <row r="1075" spans="27:27" x14ac:dyDescent="0.25">
      <c r="AA1075" s="14">
        <f>'Nov 2026'!F75</f>
        <v>0</v>
      </c>
    </row>
    <row r="1076" spans="27:27" x14ac:dyDescent="0.25">
      <c r="AA1076" s="14">
        <f>'Nov 2026'!F76</f>
        <v>0</v>
      </c>
    </row>
    <row r="1077" spans="27:27" x14ac:dyDescent="0.25">
      <c r="AA1077" s="14">
        <f>'Nov 2026'!F77</f>
        <v>0</v>
      </c>
    </row>
    <row r="1078" spans="27:27" x14ac:dyDescent="0.25">
      <c r="AA1078" s="14">
        <f>'Nov 2026'!F78</f>
        <v>0</v>
      </c>
    </row>
    <row r="1079" spans="27:27" x14ac:dyDescent="0.25">
      <c r="AA1079" s="14">
        <f>'Nov 2026'!F79</f>
        <v>0</v>
      </c>
    </row>
    <row r="1080" spans="27:27" x14ac:dyDescent="0.25">
      <c r="AA1080" s="14">
        <f>'Nov 2026'!F80</f>
        <v>0</v>
      </c>
    </row>
    <row r="1081" spans="27:27" x14ac:dyDescent="0.25">
      <c r="AA1081" s="14">
        <f>'Nov 2026'!F81</f>
        <v>0</v>
      </c>
    </row>
    <row r="1082" spans="27:27" x14ac:dyDescent="0.25">
      <c r="AA1082" s="14">
        <f>'Nov 2026'!F82</f>
        <v>0</v>
      </c>
    </row>
    <row r="1083" spans="27:27" x14ac:dyDescent="0.25">
      <c r="AA1083" s="14">
        <f>'Nov 2026'!F83</f>
        <v>0</v>
      </c>
    </row>
    <row r="1084" spans="27:27" x14ac:dyDescent="0.25">
      <c r="AA1084" s="14">
        <f>'Nov 2026'!F84</f>
        <v>0</v>
      </c>
    </row>
    <row r="1085" spans="27:27" x14ac:dyDescent="0.25">
      <c r="AA1085" s="14">
        <f>'Nov 2026'!F85</f>
        <v>0</v>
      </c>
    </row>
    <row r="1086" spans="27:27" x14ac:dyDescent="0.25">
      <c r="AA1086" s="14">
        <f>'Nov 2026'!F86</f>
        <v>0</v>
      </c>
    </row>
    <row r="1087" spans="27:27" x14ac:dyDescent="0.25">
      <c r="AA1087" s="14">
        <f>'Nov 2026'!F87</f>
        <v>0</v>
      </c>
    </row>
    <row r="1088" spans="27:27" x14ac:dyDescent="0.25">
      <c r="AA1088" s="14">
        <f>'Nov 2026'!F88</f>
        <v>0</v>
      </c>
    </row>
    <row r="1089" spans="27:27" x14ac:dyDescent="0.25">
      <c r="AA1089" s="14">
        <f>'Nov 2026'!F89</f>
        <v>0</v>
      </c>
    </row>
    <row r="1090" spans="27:27" x14ac:dyDescent="0.25">
      <c r="AA1090" s="14">
        <f>'Nov 2026'!F90</f>
        <v>0</v>
      </c>
    </row>
    <row r="1091" spans="27:27" x14ac:dyDescent="0.25">
      <c r="AA1091" s="14">
        <f>'Nov 2026'!F91</f>
        <v>0</v>
      </c>
    </row>
    <row r="1092" spans="27:27" x14ac:dyDescent="0.25">
      <c r="AA1092" s="14">
        <f>'Nov 2026'!F92</f>
        <v>0</v>
      </c>
    </row>
    <row r="1093" spans="27:27" x14ac:dyDescent="0.25">
      <c r="AA1093" s="14">
        <f>'Nov 2026'!F93</f>
        <v>0</v>
      </c>
    </row>
    <row r="1094" spans="27:27" x14ac:dyDescent="0.25">
      <c r="AA1094" s="14">
        <f>'Nov 2026'!F94</f>
        <v>0</v>
      </c>
    </row>
    <row r="1095" spans="27:27" x14ac:dyDescent="0.25">
      <c r="AA1095" s="14">
        <f>'Nov 2026'!F95</f>
        <v>0</v>
      </c>
    </row>
    <row r="1096" spans="27:27" x14ac:dyDescent="0.25">
      <c r="AA1096" s="14">
        <f>'Nov 2026'!F96</f>
        <v>0</v>
      </c>
    </row>
    <row r="1097" spans="27:27" x14ac:dyDescent="0.25">
      <c r="AA1097" s="14">
        <f>'Nov 2026'!F97</f>
        <v>0</v>
      </c>
    </row>
    <row r="1098" spans="27:27" x14ac:dyDescent="0.25">
      <c r="AA1098" s="14">
        <f>'Nov 2026'!F98</f>
        <v>0</v>
      </c>
    </row>
    <row r="1099" spans="27:27" x14ac:dyDescent="0.25">
      <c r="AA1099" s="14">
        <f>'Nov 2026'!F99</f>
        <v>0</v>
      </c>
    </row>
    <row r="1100" spans="27:27" x14ac:dyDescent="0.25">
      <c r="AA1100" s="14">
        <f>'Nov 2026'!F100</f>
        <v>0</v>
      </c>
    </row>
    <row r="1101" spans="27:27" x14ac:dyDescent="0.25">
      <c r="AA1101" s="14">
        <f>'Nov 2026'!F101</f>
        <v>0</v>
      </c>
    </row>
    <row r="1103" spans="27:27" x14ac:dyDescent="0.25">
      <c r="AA1103" s="14">
        <f>'Dec 2026'!F2</f>
        <v>0</v>
      </c>
    </row>
    <row r="1104" spans="27:27" x14ac:dyDescent="0.25">
      <c r="AA1104" s="14">
        <f>'Dec 2026'!F3</f>
        <v>0</v>
      </c>
    </row>
    <row r="1105" spans="27:27" x14ac:dyDescent="0.25">
      <c r="AA1105" s="14">
        <f>'Dec 2026'!F4</f>
        <v>0</v>
      </c>
    </row>
    <row r="1106" spans="27:27" x14ac:dyDescent="0.25">
      <c r="AA1106" s="14">
        <f>'Dec 2026'!F5</f>
        <v>0</v>
      </c>
    </row>
    <row r="1107" spans="27:27" x14ac:dyDescent="0.25">
      <c r="AA1107" s="14">
        <f>'Dec 2026'!F6</f>
        <v>0</v>
      </c>
    </row>
    <row r="1108" spans="27:27" x14ac:dyDescent="0.25">
      <c r="AA1108" s="14">
        <f>'Dec 2026'!F7</f>
        <v>0</v>
      </c>
    </row>
    <row r="1109" spans="27:27" x14ac:dyDescent="0.25">
      <c r="AA1109" s="14">
        <f>'Dec 2026'!F8</f>
        <v>0</v>
      </c>
    </row>
    <row r="1110" spans="27:27" x14ac:dyDescent="0.25">
      <c r="AA1110" s="14">
        <f>'Dec 2026'!F9</f>
        <v>0</v>
      </c>
    </row>
    <row r="1111" spans="27:27" x14ac:dyDescent="0.25">
      <c r="AA1111" s="14">
        <f>'Dec 2026'!F10</f>
        <v>0</v>
      </c>
    </row>
    <row r="1112" spans="27:27" x14ac:dyDescent="0.25">
      <c r="AA1112" s="14">
        <f>'Dec 2026'!F11</f>
        <v>0</v>
      </c>
    </row>
    <row r="1113" spans="27:27" x14ac:dyDescent="0.25">
      <c r="AA1113" s="14">
        <f>'Dec 2026'!F12</f>
        <v>0</v>
      </c>
    </row>
    <row r="1114" spans="27:27" x14ac:dyDescent="0.25">
      <c r="AA1114" s="14">
        <f>'Dec 2026'!F13</f>
        <v>0</v>
      </c>
    </row>
    <row r="1115" spans="27:27" x14ac:dyDescent="0.25">
      <c r="AA1115" s="14">
        <f>'Dec 2026'!F14</f>
        <v>0</v>
      </c>
    </row>
    <row r="1116" spans="27:27" x14ac:dyDescent="0.25">
      <c r="AA1116" s="14">
        <f>'Dec 2026'!F15</f>
        <v>0</v>
      </c>
    </row>
    <row r="1117" spans="27:27" x14ac:dyDescent="0.25">
      <c r="AA1117" s="14">
        <f>'Dec 2026'!F16</f>
        <v>0</v>
      </c>
    </row>
    <row r="1118" spans="27:27" x14ac:dyDescent="0.25">
      <c r="AA1118" s="14">
        <f>'Dec 2026'!F17</f>
        <v>0</v>
      </c>
    </row>
    <row r="1119" spans="27:27" x14ac:dyDescent="0.25">
      <c r="AA1119" s="14">
        <f>'Dec 2026'!F18</f>
        <v>0</v>
      </c>
    </row>
    <row r="1120" spans="27:27" x14ac:dyDescent="0.25">
      <c r="AA1120" s="14">
        <f>'Dec 2026'!F19</f>
        <v>0</v>
      </c>
    </row>
    <row r="1121" spans="27:27" x14ac:dyDescent="0.25">
      <c r="AA1121" s="14">
        <f>'Dec 2026'!F20</f>
        <v>0</v>
      </c>
    </row>
    <row r="1122" spans="27:27" x14ac:dyDescent="0.25">
      <c r="AA1122" s="14">
        <f>'Dec 2026'!F21</f>
        <v>0</v>
      </c>
    </row>
    <row r="1123" spans="27:27" x14ac:dyDescent="0.25">
      <c r="AA1123" s="14">
        <f>'Dec 2026'!F22</f>
        <v>0</v>
      </c>
    </row>
    <row r="1124" spans="27:27" x14ac:dyDescent="0.25">
      <c r="AA1124" s="14">
        <f>'Dec 2026'!F23</f>
        <v>0</v>
      </c>
    </row>
    <row r="1125" spans="27:27" x14ac:dyDescent="0.25">
      <c r="AA1125" s="14">
        <f>'Dec 2026'!F24</f>
        <v>0</v>
      </c>
    </row>
    <row r="1126" spans="27:27" x14ac:dyDescent="0.25">
      <c r="AA1126" s="14">
        <f>'Dec 2026'!F25</f>
        <v>0</v>
      </c>
    </row>
    <row r="1127" spans="27:27" x14ac:dyDescent="0.25">
      <c r="AA1127" s="14">
        <f>'Dec 2026'!F26</f>
        <v>0</v>
      </c>
    </row>
    <row r="1128" spans="27:27" x14ac:dyDescent="0.25">
      <c r="AA1128" s="14">
        <f>'Dec 2026'!F27</f>
        <v>0</v>
      </c>
    </row>
    <row r="1129" spans="27:27" x14ac:dyDescent="0.25">
      <c r="AA1129" s="14">
        <f>'Dec 2026'!F28</f>
        <v>0</v>
      </c>
    </row>
    <row r="1130" spans="27:27" x14ac:dyDescent="0.25">
      <c r="AA1130" s="14">
        <f>'Dec 2026'!F29</f>
        <v>0</v>
      </c>
    </row>
    <row r="1131" spans="27:27" x14ac:dyDescent="0.25">
      <c r="AA1131" s="14">
        <f>'Dec 2026'!F30</f>
        <v>0</v>
      </c>
    </row>
    <row r="1132" spans="27:27" x14ac:dyDescent="0.25">
      <c r="AA1132" s="14">
        <f>'Dec 2026'!F31</f>
        <v>0</v>
      </c>
    </row>
    <row r="1133" spans="27:27" x14ac:dyDescent="0.25">
      <c r="AA1133" s="14">
        <f>'Dec 2026'!F32</f>
        <v>0</v>
      </c>
    </row>
    <row r="1134" spans="27:27" x14ac:dyDescent="0.25">
      <c r="AA1134" s="14">
        <f>'Dec 2026'!F33</f>
        <v>0</v>
      </c>
    </row>
    <row r="1135" spans="27:27" x14ac:dyDescent="0.25">
      <c r="AA1135" s="14">
        <f>'Dec 2026'!F34</f>
        <v>0</v>
      </c>
    </row>
    <row r="1136" spans="27:27" x14ac:dyDescent="0.25">
      <c r="AA1136" s="14">
        <f>'Dec 2026'!F35</f>
        <v>0</v>
      </c>
    </row>
    <row r="1137" spans="27:27" x14ac:dyDescent="0.25">
      <c r="AA1137" s="14">
        <f>'Dec 2026'!F36</f>
        <v>0</v>
      </c>
    </row>
    <row r="1138" spans="27:27" x14ac:dyDescent="0.25">
      <c r="AA1138" s="14">
        <f>'Dec 2026'!F37</f>
        <v>0</v>
      </c>
    </row>
    <row r="1139" spans="27:27" x14ac:dyDescent="0.25">
      <c r="AA1139" s="14">
        <f>'Dec 2026'!F38</f>
        <v>0</v>
      </c>
    </row>
    <row r="1140" spans="27:27" x14ac:dyDescent="0.25">
      <c r="AA1140" s="14">
        <f>'Dec 2026'!F39</f>
        <v>0</v>
      </c>
    </row>
    <row r="1141" spans="27:27" x14ac:dyDescent="0.25">
      <c r="AA1141" s="14">
        <f>'Dec 2026'!F40</f>
        <v>0</v>
      </c>
    </row>
    <row r="1142" spans="27:27" x14ac:dyDescent="0.25">
      <c r="AA1142" s="14">
        <f>'Dec 2026'!F41</f>
        <v>0</v>
      </c>
    </row>
    <row r="1143" spans="27:27" x14ac:dyDescent="0.25">
      <c r="AA1143" s="14">
        <f>'Dec 2026'!F42</f>
        <v>0</v>
      </c>
    </row>
    <row r="1144" spans="27:27" x14ac:dyDescent="0.25">
      <c r="AA1144" s="14">
        <f>'Dec 2026'!F43</f>
        <v>0</v>
      </c>
    </row>
    <row r="1145" spans="27:27" x14ac:dyDescent="0.25">
      <c r="AA1145" s="14">
        <f>'Dec 2026'!F44</f>
        <v>0</v>
      </c>
    </row>
    <row r="1146" spans="27:27" x14ac:dyDescent="0.25">
      <c r="AA1146" s="14">
        <f>'Dec 2026'!F45</f>
        <v>0</v>
      </c>
    </row>
    <row r="1147" spans="27:27" x14ac:dyDescent="0.25">
      <c r="AA1147" s="14">
        <f>'Dec 2026'!F46</f>
        <v>0</v>
      </c>
    </row>
    <row r="1148" spans="27:27" x14ac:dyDescent="0.25">
      <c r="AA1148" s="14">
        <f>'Dec 2026'!F47</f>
        <v>0</v>
      </c>
    </row>
    <row r="1149" spans="27:27" x14ac:dyDescent="0.25">
      <c r="AA1149" s="14">
        <f>'Dec 2026'!F48</f>
        <v>0</v>
      </c>
    </row>
    <row r="1150" spans="27:27" x14ac:dyDescent="0.25">
      <c r="AA1150" s="14">
        <f>'Dec 2026'!F49</f>
        <v>0</v>
      </c>
    </row>
    <row r="1151" spans="27:27" x14ac:dyDescent="0.25">
      <c r="AA1151" s="14">
        <f>'Dec 2026'!F50</f>
        <v>0</v>
      </c>
    </row>
    <row r="1152" spans="27:27" x14ac:dyDescent="0.25">
      <c r="AA1152" s="14">
        <f>'Dec 2026'!F51</f>
        <v>0</v>
      </c>
    </row>
    <row r="1153" spans="27:27" x14ac:dyDescent="0.25">
      <c r="AA1153" s="14">
        <f>'Dec 2026'!F52</f>
        <v>0</v>
      </c>
    </row>
    <row r="1154" spans="27:27" x14ac:dyDescent="0.25">
      <c r="AA1154" s="14">
        <f>'Dec 2026'!F53</f>
        <v>0</v>
      </c>
    </row>
    <row r="1155" spans="27:27" x14ac:dyDescent="0.25">
      <c r="AA1155" s="14">
        <f>'Dec 2026'!F54</f>
        <v>0</v>
      </c>
    </row>
    <row r="1156" spans="27:27" x14ac:dyDescent="0.25">
      <c r="AA1156" s="14">
        <f>'Dec 2026'!F55</f>
        <v>0</v>
      </c>
    </row>
    <row r="1157" spans="27:27" x14ac:dyDescent="0.25">
      <c r="AA1157" s="14">
        <f>'Dec 2026'!F56</f>
        <v>0</v>
      </c>
    </row>
    <row r="1158" spans="27:27" x14ac:dyDescent="0.25">
      <c r="AA1158" s="14">
        <f>'Dec 2026'!F57</f>
        <v>0</v>
      </c>
    </row>
    <row r="1159" spans="27:27" x14ac:dyDescent="0.25">
      <c r="AA1159" s="14">
        <f>'Dec 2026'!F58</f>
        <v>0</v>
      </c>
    </row>
    <row r="1160" spans="27:27" x14ac:dyDescent="0.25">
      <c r="AA1160" s="14">
        <f>'Dec 2026'!F59</f>
        <v>0</v>
      </c>
    </row>
    <row r="1161" spans="27:27" x14ac:dyDescent="0.25">
      <c r="AA1161" s="14">
        <f>'Dec 2026'!F60</f>
        <v>0</v>
      </c>
    </row>
    <row r="1162" spans="27:27" x14ac:dyDescent="0.25">
      <c r="AA1162" s="14">
        <f>'Dec 2026'!F61</f>
        <v>0</v>
      </c>
    </row>
    <row r="1163" spans="27:27" x14ac:dyDescent="0.25">
      <c r="AA1163" s="14">
        <f>'Dec 2026'!F62</f>
        <v>0</v>
      </c>
    </row>
    <row r="1164" spans="27:27" x14ac:dyDescent="0.25">
      <c r="AA1164" s="14">
        <f>'Dec 2026'!F57</f>
        <v>0</v>
      </c>
    </row>
    <row r="1165" spans="27:27" x14ac:dyDescent="0.25">
      <c r="AA1165" s="14">
        <f>'Dec 2026'!F58</f>
        <v>0</v>
      </c>
    </row>
    <row r="1166" spans="27:27" x14ac:dyDescent="0.25">
      <c r="AA1166" s="14">
        <f>'Dec 2026'!F59</f>
        <v>0</v>
      </c>
    </row>
    <row r="1167" spans="27:27" x14ac:dyDescent="0.25">
      <c r="AA1167" s="14">
        <f>'Dec 2026'!F60</f>
        <v>0</v>
      </c>
    </row>
    <row r="1168" spans="27:27" x14ac:dyDescent="0.25">
      <c r="AA1168" s="14">
        <f>'Dec 2026'!F61</f>
        <v>0</v>
      </c>
    </row>
    <row r="1169" spans="27:27" x14ac:dyDescent="0.25">
      <c r="AA1169" s="14">
        <f>'Dec 2026'!F62</f>
        <v>0</v>
      </c>
    </row>
    <row r="1170" spans="27:27" x14ac:dyDescent="0.25">
      <c r="AA1170" s="14">
        <f>'Dec 2026'!F63</f>
        <v>0</v>
      </c>
    </row>
    <row r="1171" spans="27:27" x14ac:dyDescent="0.25">
      <c r="AA1171" s="14">
        <f>'Dec 2026'!F64</f>
        <v>0</v>
      </c>
    </row>
    <row r="1172" spans="27:27" x14ac:dyDescent="0.25">
      <c r="AA1172" s="14">
        <f>'Dec 2026'!F65</f>
        <v>0</v>
      </c>
    </row>
    <row r="1173" spans="27:27" x14ac:dyDescent="0.25">
      <c r="AA1173" s="14">
        <f>'Dec 2026'!F66</f>
        <v>0</v>
      </c>
    </row>
    <row r="1174" spans="27:27" x14ac:dyDescent="0.25">
      <c r="AA1174" s="14">
        <f>'Dec 2026'!F67</f>
        <v>0</v>
      </c>
    </row>
    <row r="1175" spans="27:27" x14ac:dyDescent="0.25">
      <c r="AA1175" s="14">
        <f>'Dec 2026'!F68</f>
        <v>0</v>
      </c>
    </row>
    <row r="1176" spans="27:27" x14ac:dyDescent="0.25">
      <c r="AA1176" s="14">
        <f>'Dec 2026'!F69</f>
        <v>0</v>
      </c>
    </row>
    <row r="1177" spans="27:27" x14ac:dyDescent="0.25">
      <c r="AA1177" s="14">
        <f>'Dec 2026'!F70</f>
        <v>0</v>
      </c>
    </row>
    <row r="1178" spans="27:27" x14ac:dyDescent="0.25">
      <c r="AA1178" s="14">
        <f>'Dec 2026'!F71</f>
        <v>0</v>
      </c>
    </row>
    <row r="1179" spans="27:27" x14ac:dyDescent="0.25">
      <c r="AA1179" s="14">
        <f>'Dec 2026'!F72</f>
        <v>0</v>
      </c>
    </row>
    <row r="1180" spans="27:27" x14ac:dyDescent="0.25">
      <c r="AA1180" s="14">
        <f>'Dec 2026'!F73</f>
        <v>0</v>
      </c>
    </row>
    <row r="1181" spans="27:27" x14ac:dyDescent="0.25">
      <c r="AA1181" s="14">
        <f>'Dec 2026'!F74</f>
        <v>0</v>
      </c>
    </row>
    <row r="1182" spans="27:27" x14ac:dyDescent="0.25">
      <c r="AA1182" s="14">
        <f>'Dec 2026'!F75</f>
        <v>0</v>
      </c>
    </row>
    <row r="1183" spans="27:27" x14ac:dyDescent="0.25">
      <c r="AA1183" s="14">
        <f>'Dec 2026'!F76</f>
        <v>0</v>
      </c>
    </row>
    <row r="1184" spans="27:27" x14ac:dyDescent="0.25">
      <c r="AA1184" s="14">
        <f>'Dec 2026'!F77</f>
        <v>0</v>
      </c>
    </row>
    <row r="1185" spans="27:27" x14ac:dyDescent="0.25">
      <c r="AA1185" s="14">
        <f>'Dec 2026'!F78</f>
        <v>0</v>
      </c>
    </row>
    <row r="1186" spans="27:27" x14ac:dyDescent="0.25">
      <c r="AA1186" s="14">
        <f>'Dec 2026'!F79</f>
        <v>0</v>
      </c>
    </row>
    <row r="1187" spans="27:27" x14ac:dyDescent="0.25">
      <c r="AA1187" s="14">
        <f>'Dec 2026'!F80</f>
        <v>0</v>
      </c>
    </row>
    <row r="1188" spans="27:27" x14ac:dyDescent="0.25">
      <c r="AA1188" s="14">
        <f>'Dec 2026'!F81</f>
        <v>0</v>
      </c>
    </row>
    <row r="1189" spans="27:27" x14ac:dyDescent="0.25">
      <c r="AA1189" s="14">
        <f>'Dec 2026'!F82</f>
        <v>0</v>
      </c>
    </row>
    <row r="1190" spans="27:27" x14ac:dyDescent="0.25">
      <c r="AA1190" s="14">
        <f>'Dec 2026'!F83</f>
        <v>0</v>
      </c>
    </row>
    <row r="1191" spans="27:27" x14ac:dyDescent="0.25">
      <c r="AA1191" s="14">
        <f>'Dec 2026'!F84</f>
        <v>0</v>
      </c>
    </row>
    <row r="1192" spans="27:27" x14ac:dyDescent="0.25">
      <c r="AA1192" s="14">
        <f>'Dec 2026'!F85</f>
        <v>0</v>
      </c>
    </row>
    <row r="1193" spans="27:27" x14ac:dyDescent="0.25">
      <c r="AA1193" s="14">
        <f>'Dec 2026'!F86</f>
        <v>0</v>
      </c>
    </row>
    <row r="1194" spans="27:27" x14ac:dyDescent="0.25">
      <c r="AA1194" s="14">
        <f>'Dec 2026'!F87</f>
        <v>0</v>
      </c>
    </row>
    <row r="1195" spans="27:27" x14ac:dyDescent="0.25">
      <c r="AA1195" s="14">
        <f>'Dec 2026'!F88</f>
        <v>0</v>
      </c>
    </row>
    <row r="1196" spans="27:27" x14ac:dyDescent="0.25">
      <c r="AA1196" s="14">
        <f>'Dec 2026'!F89</f>
        <v>0</v>
      </c>
    </row>
    <row r="1197" spans="27:27" x14ac:dyDescent="0.25">
      <c r="AA1197" s="14">
        <f>'Dec 2026'!F90</f>
        <v>0</v>
      </c>
    </row>
    <row r="1198" spans="27:27" x14ac:dyDescent="0.25">
      <c r="AA1198" s="14">
        <f>'Dec 2026'!F91</f>
        <v>0</v>
      </c>
    </row>
    <row r="1199" spans="27:27" x14ac:dyDescent="0.25">
      <c r="AA1199" s="14">
        <f>'Dec 2026'!F92</f>
        <v>0</v>
      </c>
    </row>
    <row r="1200" spans="27:27" x14ac:dyDescent="0.25">
      <c r="AA1200" s="14">
        <f>'Dec 2026'!F93</f>
        <v>0</v>
      </c>
    </row>
    <row r="1201" spans="27:27" x14ac:dyDescent="0.25">
      <c r="AA1201" s="14">
        <f>'Dec 2026'!F94</f>
        <v>0</v>
      </c>
    </row>
    <row r="1202" spans="27:27" x14ac:dyDescent="0.25">
      <c r="AA1202" s="14">
        <f>'Dec 2026'!F95</f>
        <v>0</v>
      </c>
    </row>
  </sheetData>
  <mergeCells count="5">
    <mergeCell ref="D1:F1"/>
    <mergeCell ref="G1:I1"/>
    <mergeCell ref="A1:A2"/>
    <mergeCell ref="B1:B2"/>
    <mergeCell ref="C1:C2"/>
  </mergeCells>
  <conditionalFormatting sqref="A19:M168">
    <cfRule type="cellIs" dxfId="5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D52B-C04A-4A26-A747-720C96A95EAF}">
  <dimension ref="A1:N151"/>
  <sheetViews>
    <sheetView workbookViewId="0">
      <selection activeCell="F2" sqref="F2:G151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2" t="s">
        <v>4</v>
      </c>
      <c r="E1" s="2"/>
      <c r="F1" s="2" t="s">
        <v>12</v>
      </c>
      <c r="G1" s="2" t="s">
        <v>4</v>
      </c>
      <c r="H1" s="2" t="s">
        <v>5</v>
      </c>
      <c r="M1" s="2" t="s">
        <v>13</v>
      </c>
      <c r="N1" s="2" t="s">
        <v>4</v>
      </c>
    </row>
    <row r="2" spans="1:14" x14ac:dyDescent="0.25">
      <c r="A2" s="1">
        <v>46023</v>
      </c>
      <c r="F2" cm="1">
        <f t="array" ref="F2">_xlfn._xlws.SORT(_xlfn.UNIQUE(C2:C150))</f>
        <v>0</v>
      </c>
      <c r="G2" s="4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4">
        <f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G4" s="4">
        <f t="shared" ref="G4:G67" si="0">SUMIF($C$2:$C$150,F4,$D$2:$D$150)</f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F5" s="6"/>
      <c r="G5" s="4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G6" s="4">
        <f t="shared" si="0"/>
        <v>0</v>
      </c>
    </row>
    <row r="7" spans="1:14" x14ac:dyDescent="0.25">
      <c r="G7" s="4">
        <f t="shared" si="0"/>
        <v>0</v>
      </c>
      <c r="M7" s="2" t="s">
        <v>14</v>
      </c>
      <c r="N7" s="2" t="s">
        <v>4</v>
      </c>
    </row>
    <row r="8" spans="1:14" x14ac:dyDescent="0.25">
      <c r="G8" s="4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G9" s="4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4">
        <f t="shared" si="0"/>
        <v>0</v>
      </c>
      <c r="M10" t="s">
        <v>8</v>
      </c>
      <c r="N10">
        <f>SUMIF($B$2:$B$150,"*SEB*",$D$2:$D$150)</f>
        <v>0</v>
      </c>
    </row>
    <row r="11" spans="1:14" x14ac:dyDescent="0.25">
      <c r="G11" s="4">
        <f t="shared" si="0"/>
        <v>0</v>
      </c>
    </row>
    <row r="12" spans="1:14" x14ac:dyDescent="0.25">
      <c r="C12" s="6"/>
      <c r="G12" s="4">
        <f t="shared" si="0"/>
        <v>0</v>
      </c>
      <c r="M12" s="2" t="s">
        <v>15</v>
      </c>
    </row>
    <row r="13" spans="1:14" x14ac:dyDescent="0.25">
      <c r="G13" s="4">
        <f t="shared" si="0"/>
        <v>0</v>
      </c>
      <c r="M13" s="9">
        <f>SUM(D2:D150)</f>
        <v>0</v>
      </c>
    </row>
    <row r="14" spans="1:14" x14ac:dyDescent="0.25">
      <c r="G14" s="4">
        <f t="shared" si="0"/>
        <v>0</v>
      </c>
    </row>
    <row r="15" spans="1:14" x14ac:dyDescent="0.25">
      <c r="G15" s="4">
        <f t="shared" si="0"/>
        <v>0</v>
      </c>
    </row>
    <row r="16" spans="1:14" x14ac:dyDescent="0.25">
      <c r="G16" s="4">
        <f t="shared" si="0"/>
        <v>0</v>
      </c>
    </row>
    <row r="17" spans="7:7" x14ac:dyDescent="0.25">
      <c r="G17" s="4">
        <f t="shared" si="0"/>
        <v>0</v>
      </c>
    </row>
    <row r="18" spans="7:7" x14ac:dyDescent="0.25">
      <c r="G18" s="4">
        <f t="shared" si="0"/>
        <v>0</v>
      </c>
    </row>
    <row r="19" spans="7:7" x14ac:dyDescent="0.25">
      <c r="G19" s="4">
        <f t="shared" si="0"/>
        <v>0</v>
      </c>
    </row>
    <row r="20" spans="7:7" x14ac:dyDescent="0.25">
      <c r="G20" s="4">
        <f t="shared" si="0"/>
        <v>0</v>
      </c>
    </row>
    <row r="21" spans="7:7" x14ac:dyDescent="0.25">
      <c r="G21" s="4">
        <f t="shared" si="0"/>
        <v>0</v>
      </c>
    </row>
    <row r="22" spans="7:7" x14ac:dyDescent="0.25">
      <c r="G22" s="4">
        <f t="shared" si="0"/>
        <v>0</v>
      </c>
    </row>
    <row r="23" spans="7:7" x14ac:dyDescent="0.25">
      <c r="G23" s="4">
        <f t="shared" si="0"/>
        <v>0</v>
      </c>
    </row>
    <row r="24" spans="7:7" x14ac:dyDescent="0.25">
      <c r="G24" s="4">
        <f t="shared" si="0"/>
        <v>0</v>
      </c>
    </row>
    <row r="25" spans="7:7" x14ac:dyDescent="0.25">
      <c r="G25" s="4">
        <f t="shared" si="0"/>
        <v>0</v>
      </c>
    </row>
    <row r="26" spans="7:7" x14ac:dyDescent="0.25">
      <c r="G26" s="4">
        <f t="shared" si="0"/>
        <v>0</v>
      </c>
    </row>
    <row r="27" spans="7:7" x14ac:dyDescent="0.25">
      <c r="G27" s="4">
        <f t="shared" si="0"/>
        <v>0</v>
      </c>
    </row>
    <row r="28" spans="7:7" x14ac:dyDescent="0.25">
      <c r="G28" s="4">
        <f t="shared" si="0"/>
        <v>0</v>
      </c>
    </row>
    <row r="29" spans="7:7" x14ac:dyDescent="0.25">
      <c r="G29" s="4">
        <f t="shared" si="0"/>
        <v>0</v>
      </c>
    </row>
    <row r="30" spans="7:7" x14ac:dyDescent="0.25">
      <c r="G30" s="4">
        <f t="shared" si="0"/>
        <v>0</v>
      </c>
    </row>
    <row r="31" spans="7:7" x14ac:dyDescent="0.25">
      <c r="G31" s="4">
        <f t="shared" si="0"/>
        <v>0</v>
      </c>
    </row>
    <row r="32" spans="7:7" x14ac:dyDescent="0.25">
      <c r="G32" s="4">
        <f t="shared" si="0"/>
        <v>0</v>
      </c>
    </row>
    <row r="33" spans="7:7" x14ac:dyDescent="0.25">
      <c r="G33" s="4">
        <f t="shared" si="0"/>
        <v>0</v>
      </c>
    </row>
    <row r="34" spans="7:7" x14ac:dyDescent="0.25">
      <c r="G34" s="4">
        <f t="shared" si="0"/>
        <v>0</v>
      </c>
    </row>
    <row r="35" spans="7:7" x14ac:dyDescent="0.25">
      <c r="G35" s="4">
        <f t="shared" si="0"/>
        <v>0</v>
      </c>
    </row>
    <row r="36" spans="7:7" x14ac:dyDescent="0.25">
      <c r="G36" s="4">
        <f t="shared" si="0"/>
        <v>0</v>
      </c>
    </row>
    <row r="37" spans="7:7" x14ac:dyDescent="0.25">
      <c r="G37" s="4">
        <f t="shared" si="0"/>
        <v>0</v>
      </c>
    </row>
    <row r="38" spans="7:7" x14ac:dyDescent="0.25">
      <c r="G38" s="4">
        <f t="shared" si="0"/>
        <v>0</v>
      </c>
    </row>
    <row r="39" spans="7:7" x14ac:dyDescent="0.25">
      <c r="G39" s="4">
        <f t="shared" si="0"/>
        <v>0</v>
      </c>
    </row>
    <row r="40" spans="7:7" x14ac:dyDescent="0.25">
      <c r="G40" s="4">
        <f t="shared" si="0"/>
        <v>0</v>
      </c>
    </row>
    <row r="41" spans="7:7" x14ac:dyDescent="0.25">
      <c r="G41" s="4">
        <f t="shared" si="0"/>
        <v>0</v>
      </c>
    </row>
    <row r="42" spans="7:7" x14ac:dyDescent="0.25">
      <c r="G42" s="4">
        <f t="shared" si="0"/>
        <v>0</v>
      </c>
    </row>
    <row r="43" spans="7:7" x14ac:dyDescent="0.25">
      <c r="G43" s="4">
        <f t="shared" si="0"/>
        <v>0</v>
      </c>
    </row>
    <row r="44" spans="7:7" x14ac:dyDescent="0.25">
      <c r="G44" s="4">
        <f t="shared" si="0"/>
        <v>0</v>
      </c>
    </row>
    <row r="45" spans="7:7" x14ac:dyDescent="0.25">
      <c r="G45" s="4">
        <f t="shared" si="0"/>
        <v>0</v>
      </c>
    </row>
    <row r="46" spans="7:7" x14ac:dyDescent="0.25">
      <c r="G46" s="4">
        <f t="shared" si="0"/>
        <v>0</v>
      </c>
    </row>
    <row r="47" spans="7:7" x14ac:dyDescent="0.25">
      <c r="G47" s="4">
        <f t="shared" si="0"/>
        <v>0</v>
      </c>
    </row>
    <row r="48" spans="7:7" x14ac:dyDescent="0.25">
      <c r="G48" s="4">
        <f t="shared" si="0"/>
        <v>0</v>
      </c>
    </row>
    <row r="49" spans="7:7" x14ac:dyDescent="0.25">
      <c r="G49" s="4">
        <f t="shared" si="0"/>
        <v>0</v>
      </c>
    </row>
    <row r="50" spans="7:7" x14ac:dyDescent="0.25">
      <c r="G50" s="4">
        <f t="shared" si="0"/>
        <v>0</v>
      </c>
    </row>
    <row r="51" spans="7:7" x14ac:dyDescent="0.25">
      <c r="G51" s="4">
        <f t="shared" si="0"/>
        <v>0</v>
      </c>
    </row>
    <row r="52" spans="7:7" x14ac:dyDescent="0.25">
      <c r="G52" s="4">
        <f t="shared" si="0"/>
        <v>0</v>
      </c>
    </row>
    <row r="53" spans="7:7" x14ac:dyDescent="0.25">
      <c r="G53" s="4">
        <f t="shared" si="0"/>
        <v>0</v>
      </c>
    </row>
    <row r="54" spans="7:7" x14ac:dyDescent="0.25">
      <c r="G54" s="4">
        <f t="shared" si="0"/>
        <v>0</v>
      </c>
    </row>
    <row r="55" spans="7:7" x14ac:dyDescent="0.25">
      <c r="G55" s="4">
        <f t="shared" si="0"/>
        <v>0</v>
      </c>
    </row>
    <row r="56" spans="7:7" x14ac:dyDescent="0.25">
      <c r="G56" s="4">
        <f t="shared" si="0"/>
        <v>0</v>
      </c>
    </row>
    <row r="57" spans="7:7" x14ac:dyDescent="0.25">
      <c r="G57" s="4">
        <f t="shared" si="0"/>
        <v>0</v>
      </c>
    </row>
    <row r="58" spans="7:7" x14ac:dyDescent="0.25">
      <c r="G58" s="4">
        <f t="shared" si="0"/>
        <v>0</v>
      </c>
    </row>
    <row r="59" spans="7:7" x14ac:dyDescent="0.25">
      <c r="G59" s="4">
        <f t="shared" si="0"/>
        <v>0</v>
      </c>
    </row>
    <row r="60" spans="7:7" x14ac:dyDescent="0.25">
      <c r="G60" s="4">
        <f t="shared" si="0"/>
        <v>0</v>
      </c>
    </row>
    <row r="61" spans="7:7" x14ac:dyDescent="0.25">
      <c r="G61" s="4">
        <f t="shared" si="0"/>
        <v>0</v>
      </c>
    </row>
    <row r="62" spans="7:7" x14ac:dyDescent="0.25">
      <c r="G62" s="4">
        <f t="shared" si="0"/>
        <v>0</v>
      </c>
    </row>
    <row r="63" spans="7:7" x14ac:dyDescent="0.25">
      <c r="G63" s="4">
        <f t="shared" si="0"/>
        <v>0</v>
      </c>
    </row>
    <row r="64" spans="7:7" x14ac:dyDescent="0.25">
      <c r="G64" s="4">
        <f t="shared" si="0"/>
        <v>0</v>
      </c>
    </row>
    <row r="65" spans="7:7" x14ac:dyDescent="0.25">
      <c r="G65" s="4">
        <f t="shared" si="0"/>
        <v>0</v>
      </c>
    </row>
    <row r="66" spans="7:7" x14ac:dyDescent="0.25">
      <c r="G66" s="4">
        <f t="shared" si="0"/>
        <v>0</v>
      </c>
    </row>
    <row r="67" spans="7:7" x14ac:dyDescent="0.25">
      <c r="G67" s="4">
        <f t="shared" si="0"/>
        <v>0</v>
      </c>
    </row>
    <row r="68" spans="7:7" x14ac:dyDescent="0.25">
      <c r="G68" s="4">
        <f t="shared" ref="G68:G131" si="1">SUMIF($C$2:$C$150,F68,$D$2:$D$150)</f>
        <v>0</v>
      </c>
    </row>
    <row r="69" spans="7:7" x14ac:dyDescent="0.25">
      <c r="G69" s="4">
        <f t="shared" si="1"/>
        <v>0</v>
      </c>
    </row>
    <row r="70" spans="7:7" x14ac:dyDescent="0.25">
      <c r="G70" s="4">
        <f t="shared" si="1"/>
        <v>0</v>
      </c>
    </row>
    <row r="71" spans="7:7" x14ac:dyDescent="0.25">
      <c r="G71" s="4">
        <f t="shared" si="1"/>
        <v>0</v>
      </c>
    </row>
    <row r="72" spans="7:7" x14ac:dyDescent="0.25">
      <c r="G72" s="4">
        <f t="shared" si="1"/>
        <v>0</v>
      </c>
    </row>
    <row r="73" spans="7:7" x14ac:dyDescent="0.25">
      <c r="G73" s="4">
        <f t="shared" si="1"/>
        <v>0</v>
      </c>
    </row>
    <row r="74" spans="7:7" x14ac:dyDescent="0.25">
      <c r="G74" s="4">
        <f t="shared" si="1"/>
        <v>0</v>
      </c>
    </row>
    <row r="75" spans="7:7" x14ac:dyDescent="0.25">
      <c r="G75" s="4">
        <f t="shared" si="1"/>
        <v>0</v>
      </c>
    </row>
    <row r="76" spans="7:7" x14ac:dyDescent="0.25">
      <c r="G76" s="4">
        <f t="shared" si="1"/>
        <v>0</v>
      </c>
    </row>
    <row r="77" spans="7:7" x14ac:dyDescent="0.25">
      <c r="G77" s="4">
        <f t="shared" si="1"/>
        <v>0</v>
      </c>
    </row>
    <row r="78" spans="7:7" x14ac:dyDescent="0.25">
      <c r="G78" s="4">
        <f t="shared" si="1"/>
        <v>0</v>
      </c>
    </row>
    <row r="79" spans="7:7" x14ac:dyDescent="0.25">
      <c r="G79" s="4">
        <f t="shared" si="1"/>
        <v>0</v>
      </c>
    </row>
    <row r="80" spans="7:7" x14ac:dyDescent="0.25">
      <c r="G80" s="4">
        <f t="shared" si="1"/>
        <v>0</v>
      </c>
    </row>
    <row r="81" spans="7:8" x14ac:dyDescent="0.25">
      <c r="G81" s="4">
        <f t="shared" si="1"/>
        <v>0</v>
      </c>
    </row>
    <row r="82" spans="7:8" x14ac:dyDescent="0.25">
      <c r="G82" s="4">
        <f t="shared" si="1"/>
        <v>0</v>
      </c>
    </row>
    <row r="83" spans="7:8" x14ac:dyDescent="0.25">
      <c r="G83" s="4">
        <f t="shared" si="1"/>
        <v>0</v>
      </c>
    </row>
    <row r="84" spans="7:8" x14ac:dyDescent="0.25">
      <c r="G84" s="4">
        <f t="shared" si="1"/>
        <v>0</v>
      </c>
    </row>
    <row r="85" spans="7:8" x14ac:dyDescent="0.25">
      <c r="G85" s="4">
        <f t="shared" si="1"/>
        <v>0</v>
      </c>
    </row>
    <row r="86" spans="7:8" x14ac:dyDescent="0.25">
      <c r="G86" s="4">
        <f t="shared" si="1"/>
        <v>0</v>
      </c>
    </row>
    <row r="87" spans="7:8" x14ac:dyDescent="0.25">
      <c r="G87" s="4">
        <f t="shared" si="1"/>
        <v>0</v>
      </c>
    </row>
    <row r="88" spans="7:8" x14ac:dyDescent="0.25">
      <c r="G88" s="4">
        <f t="shared" si="1"/>
        <v>0</v>
      </c>
    </row>
    <row r="89" spans="7:8" x14ac:dyDescent="0.25">
      <c r="G89" s="4">
        <f t="shared" si="1"/>
        <v>0</v>
      </c>
    </row>
    <row r="90" spans="7:8" x14ac:dyDescent="0.25">
      <c r="G90" s="4">
        <f t="shared" si="1"/>
        <v>0</v>
      </c>
    </row>
    <row r="91" spans="7:8" x14ac:dyDescent="0.25">
      <c r="G91" s="4">
        <f t="shared" si="1"/>
        <v>0</v>
      </c>
      <c r="H91" s="5"/>
    </row>
    <row r="92" spans="7:8" x14ac:dyDescent="0.25">
      <c r="G92" s="4">
        <f t="shared" si="1"/>
        <v>0</v>
      </c>
    </row>
    <row r="93" spans="7:8" x14ac:dyDescent="0.25">
      <c r="G93" s="4">
        <f t="shared" si="1"/>
        <v>0</v>
      </c>
    </row>
    <row r="94" spans="7:8" x14ac:dyDescent="0.25">
      <c r="G94" s="4">
        <f t="shared" si="1"/>
        <v>0</v>
      </c>
    </row>
    <row r="95" spans="7:8" x14ac:dyDescent="0.25">
      <c r="G95" s="4">
        <f t="shared" si="1"/>
        <v>0</v>
      </c>
    </row>
    <row r="96" spans="7:8" x14ac:dyDescent="0.25">
      <c r="G96" s="4">
        <f t="shared" si="1"/>
        <v>0</v>
      </c>
    </row>
    <row r="97" spans="7:7" x14ac:dyDescent="0.25">
      <c r="G97" s="4">
        <f t="shared" si="1"/>
        <v>0</v>
      </c>
    </row>
    <row r="98" spans="7:7" x14ac:dyDescent="0.25">
      <c r="G98" s="4">
        <f t="shared" si="1"/>
        <v>0</v>
      </c>
    </row>
    <row r="99" spans="7:7" x14ac:dyDescent="0.25">
      <c r="G99" s="4">
        <f t="shared" si="1"/>
        <v>0</v>
      </c>
    </row>
    <row r="100" spans="7:7" x14ac:dyDescent="0.25">
      <c r="G100" s="4">
        <f t="shared" si="1"/>
        <v>0</v>
      </c>
    </row>
    <row r="101" spans="7:7" x14ac:dyDescent="0.25">
      <c r="G101" s="4">
        <f t="shared" si="1"/>
        <v>0</v>
      </c>
    </row>
    <row r="102" spans="7:7" x14ac:dyDescent="0.25">
      <c r="G102" s="4">
        <f t="shared" si="1"/>
        <v>0</v>
      </c>
    </row>
    <row r="103" spans="7:7" x14ac:dyDescent="0.25">
      <c r="G103" s="4">
        <f t="shared" si="1"/>
        <v>0</v>
      </c>
    </row>
    <row r="104" spans="7:7" x14ac:dyDescent="0.25">
      <c r="G104" s="4">
        <f t="shared" si="1"/>
        <v>0</v>
      </c>
    </row>
    <row r="105" spans="7:7" x14ac:dyDescent="0.25">
      <c r="G105" s="4">
        <f t="shared" si="1"/>
        <v>0</v>
      </c>
    </row>
    <row r="106" spans="7:7" x14ac:dyDescent="0.25">
      <c r="G106" s="4">
        <f t="shared" si="1"/>
        <v>0</v>
      </c>
    </row>
    <row r="107" spans="7:7" x14ac:dyDescent="0.25">
      <c r="G107" s="4">
        <f t="shared" si="1"/>
        <v>0</v>
      </c>
    </row>
    <row r="108" spans="7:7" x14ac:dyDescent="0.25">
      <c r="G108" s="4">
        <f t="shared" si="1"/>
        <v>0</v>
      </c>
    </row>
    <row r="109" spans="7:7" x14ac:dyDescent="0.25">
      <c r="G109" s="4">
        <f t="shared" si="1"/>
        <v>0</v>
      </c>
    </row>
    <row r="110" spans="7:7" x14ac:dyDescent="0.25">
      <c r="G110" s="4">
        <f t="shared" si="1"/>
        <v>0</v>
      </c>
    </row>
    <row r="111" spans="7:7" x14ac:dyDescent="0.25">
      <c r="G111" s="4">
        <f t="shared" si="1"/>
        <v>0</v>
      </c>
    </row>
    <row r="112" spans="7:7" x14ac:dyDescent="0.25">
      <c r="G112" s="4">
        <f t="shared" si="1"/>
        <v>0</v>
      </c>
    </row>
    <row r="113" spans="7:7" x14ac:dyDescent="0.25">
      <c r="G113" s="4">
        <f t="shared" si="1"/>
        <v>0</v>
      </c>
    </row>
    <row r="114" spans="7:7" x14ac:dyDescent="0.25">
      <c r="G114" s="4">
        <f t="shared" si="1"/>
        <v>0</v>
      </c>
    </row>
    <row r="115" spans="7:7" x14ac:dyDescent="0.25">
      <c r="G115" s="4">
        <f t="shared" si="1"/>
        <v>0</v>
      </c>
    </row>
    <row r="116" spans="7:7" x14ac:dyDescent="0.25">
      <c r="G116" s="4">
        <f t="shared" si="1"/>
        <v>0</v>
      </c>
    </row>
    <row r="117" spans="7:7" x14ac:dyDescent="0.25">
      <c r="G117" s="4">
        <f t="shared" si="1"/>
        <v>0</v>
      </c>
    </row>
    <row r="118" spans="7:7" x14ac:dyDescent="0.25">
      <c r="G118" s="4">
        <f t="shared" si="1"/>
        <v>0</v>
      </c>
    </row>
    <row r="119" spans="7:7" x14ac:dyDescent="0.25">
      <c r="G119" s="4">
        <f t="shared" si="1"/>
        <v>0</v>
      </c>
    </row>
    <row r="120" spans="7:7" x14ac:dyDescent="0.25">
      <c r="G120" s="4">
        <f t="shared" si="1"/>
        <v>0</v>
      </c>
    </row>
    <row r="121" spans="7:7" x14ac:dyDescent="0.25">
      <c r="G121" s="4">
        <f t="shared" si="1"/>
        <v>0</v>
      </c>
    </row>
    <row r="122" spans="7:7" x14ac:dyDescent="0.25">
      <c r="G122" s="4">
        <f t="shared" si="1"/>
        <v>0</v>
      </c>
    </row>
    <row r="123" spans="7:7" x14ac:dyDescent="0.25">
      <c r="G123" s="4">
        <f t="shared" si="1"/>
        <v>0</v>
      </c>
    </row>
    <row r="124" spans="7:7" x14ac:dyDescent="0.25">
      <c r="G124" s="4">
        <f t="shared" si="1"/>
        <v>0</v>
      </c>
    </row>
    <row r="125" spans="7:7" x14ac:dyDescent="0.25">
      <c r="G125" s="4">
        <f t="shared" si="1"/>
        <v>0</v>
      </c>
    </row>
    <row r="126" spans="7:7" x14ac:dyDescent="0.25">
      <c r="G126" s="4">
        <f t="shared" si="1"/>
        <v>0</v>
      </c>
    </row>
    <row r="127" spans="7:7" x14ac:dyDescent="0.25">
      <c r="G127" s="4">
        <f t="shared" si="1"/>
        <v>0</v>
      </c>
    </row>
    <row r="128" spans="7:7" x14ac:dyDescent="0.25">
      <c r="G128" s="4">
        <f t="shared" si="1"/>
        <v>0</v>
      </c>
    </row>
    <row r="129" spans="7:7" x14ac:dyDescent="0.25">
      <c r="G129" s="4">
        <f t="shared" si="1"/>
        <v>0</v>
      </c>
    </row>
    <row r="130" spans="7:7" x14ac:dyDescent="0.25">
      <c r="G130" s="4">
        <f t="shared" si="1"/>
        <v>0</v>
      </c>
    </row>
    <row r="131" spans="7:7" x14ac:dyDescent="0.25">
      <c r="G131" s="4">
        <f t="shared" si="1"/>
        <v>0</v>
      </c>
    </row>
    <row r="132" spans="7:7" x14ac:dyDescent="0.25">
      <c r="G132" s="4">
        <f t="shared" ref="G132:G151" si="2">SUMIF($C$2:$C$150,F132,$D$2:$D$150)</f>
        <v>0</v>
      </c>
    </row>
    <row r="133" spans="7:7" x14ac:dyDescent="0.25">
      <c r="G133" s="4">
        <f t="shared" si="2"/>
        <v>0</v>
      </c>
    </row>
    <row r="134" spans="7:7" x14ac:dyDescent="0.25">
      <c r="G134" s="4">
        <f t="shared" si="2"/>
        <v>0</v>
      </c>
    </row>
    <row r="135" spans="7:7" x14ac:dyDescent="0.25">
      <c r="G135" s="4">
        <f t="shared" si="2"/>
        <v>0</v>
      </c>
    </row>
    <row r="136" spans="7:7" x14ac:dyDescent="0.25">
      <c r="G136" s="4">
        <f t="shared" si="2"/>
        <v>0</v>
      </c>
    </row>
    <row r="137" spans="7:7" x14ac:dyDescent="0.25">
      <c r="G137" s="4">
        <f t="shared" si="2"/>
        <v>0</v>
      </c>
    </row>
    <row r="138" spans="7:7" x14ac:dyDescent="0.25">
      <c r="G138" s="4">
        <f t="shared" si="2"/>
        <v>0</v>
      </c>
    </row>
    <row r="139" spans="7:7" x14ac:dyDescent="0.25">
      <c r="G139" s="4">
        <f t="shared" si="2"/>
        <v>0</v>
      </c>
    </row>
    <row r="140" spans="7:7" x14ac:dyDescent="0.25">
      <c r="G140" s="4">
        <f t="shared" si="2"/>
        <v>0</v>
      </c>
    </row>
    <row r="141" spans="7:7" x14ac:dyDescent="0.25">
      <c r="G141" s="4">
        <f t="shared" si="2"/>
        <v>0</v>
      </c>
    </row>
    <row r="142" spans="7:7" x14ac:dyDescent="0.25">
      <c r="G142" s="4">
        <f t="shared" si="2"/>
        <v>0</v>
      </c>
    </row>
    <row r="143" spans="7:7" x14ac:dyDescent="0.25">
      <c r="G143" s="4">
        <f t="shared" si="2"/>
        <v>0</v>
      </c>
    </row>
    <row r="144" spans="7:7" x14ac:dyDescent="0.25">
      <c r="G144" s="4">
        <f t="shared" si="2"/>
        <v>0</v>
      </c>
    </row>
    <row r="145" spans="7:7" x14ac:dyDescent="0.25">
      <c r="G145" s="4">
        <f t="shared" si="2"/>
        <v>0</v>
      </c>
    </row>
    <row r="146" spans="7:7" x14ac:dyDescent="0.25">
      <c r="G146" s="4">
        <f t="shared" si="2"/>
        <v>0</v>
      </c>
    </row>
    <row r="147" spans="7:7" x14ac:dyDescent="0.25">
      <c r="G147" s="4">
        <f t="shared" si="2"/>
        <v>0</v>
      </c>
    </row>
    <row r="148" spans="7:7" x14ac:dyDescent="0.25">
      <c r="G148" s="4">
        <f t="shared" si="2"/>
        <v>0</v>
      </c>
    </row>
    <row r="149" spans="7:7" x14ac:dyDescent="0.25">
      <c r="G149" s="4">
        <f t="shared" si="2"/>
        <v>0</v>
      </c>
    </row>
    <row r="150" spans="7:7" x14ac:dyDescent="0.25">
      <c r="G150" s="4">
        <f t="shared" si="2"/>
        <v>0</v>
      </c>
    </row>
    <row r="151" spans="7:7" x14ac:dyDescent="0.25">
      <c r="G151" s="4">
        <f t="shared" si="2"/>
        <v>0</v>
      </c>
    </row>
  </sheetData>
  <sortState xmlns:xlrd2="http://schemas.microsoft.com/office/spreadsheetml/2017/richdata2" ref="B2:D98">
    <sortCondition ref="B2:B98"/>
    <sortCondition ref="C2:C98"/>
  </sortState>
  <phoneticPr fontId="2" type="noConversion"/>
  <conditionalFormatting sqref="F2:G151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B0C6-1483-42DD-9229-02ACD76B2086}">
  <dimension ref="A1:N151"/>
  <sheetViews>
    <sheetView workbookViewId="0">
      <selection activeCell="F2" sqref="F2:G151"/>
    </sheetView>
  </sheetViews>
  <sheetFormatPr defaultRowHeight="15" x14ac:dyDescent="0.25"/>
  <cols>
    <col min="2" max="2" width="14.140625" bestFit="1" customWidth="1"/>
    <col min="3" max="3" width="26.42578125" customWidth="1"/>
    <col min="4" max="4" width="14.42578125" style="3" customWidth="1"/>
    <col min="5" max="5" width="14.42578125" style="4" customWidth="1"/>
    <col min="6" max="6" width="26.5703125" customWidth="1"/>
    <col min="7" max="7" width="14.42578125" customWidth="1"/>
    <col min="8" max="8" width="14.42578125" bestFit="1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E1" s="2"/>
      <c r="F1" s="2" t="s">
        <v>12</v>
      </c>
      <c r="G1" s="2" t="s">
        <v>4</v>
      </c>
      <c r="H1" s="2" t="s">
        <v>5</v>
      </c>
      <c r="M1" s="2" t="s">
        <v>13</v>
      </c>
      <c r="N1" s="2" t="s">
        <v>4</v>
      </c>
    </row>
    <row r="2" spans="1:14" x14ac:dyDescent="0.25">
      <c r="A2" s="1">
        <v>46054</v>
      </c>
      <c r="C2" s="4"/>
      <c r="E2"/>
      <c r="F2" cm="1">
        <f t="array" ref="F2">_xlfn._xlws.SORT(_xlfn.UNIQUE(C2:C150))</f>
        <v>0</v>
      </c>
      <c r="G2" s="4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E3"/>
      <c r="G3" s="4">
        <f t="shared" ref="G3:G66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C4" s="4"/>
      <c r="E4"/>
      <c r="G4" s="4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C5" s="4"/>
      <c r="E5"/>
      <c r="F5" s="6"/>
      <c r="G5" s="4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C6" s="4"/>
      <c r="E6"/>
      <c r="G6" s="4">
        <f t="shared" si="0"/>
        <v>0</v>
      </c>
    </row>
    <row r="7" spans="1:14" x14ac:dyDescent="0.25">
      <c r="C7" s="4"/>
      <c r="E7"/>
      <c r="G7" s="4">
        <f t="shared" si="0"/>
        <v>0</v>
      </c>
      <c r="M7" s="2" t="s">
        <v>14</v>
      </c>
      <c r="N7" s="2" t="s">
        <v>4</v>
      </c>
    </row>
    <row r="8" spans="1:14" x14ac:dyDescent="0.25">
      <c r="C8" s="4"/>
      <c r="E8"/>
      <c r="G8" s="4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C9" s="4"/>
      <c r="E9"/>
      <c r="G9" s="4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D10" s="4"/>
      <c r="E10"/>
      <c r="G10" s="4">
        <f t="shared" si="0"/>
        <v>0</v>
      </c>
      <c r="M10" t="s">
        <v>8</v>
      </c>
      <c r="N10">
        <f>SUMIF($B$2:$B$150,"*SEB*",$D$2:$D$150)</f>
        <v>0</v>
      </c>
    </row>
    <row r="11" spans="1:14" x14ac:dyDescent="0.25">
      <c r="D11" s="4"/>
      <c r="E11"/>
      <c r="G11" s="4">
        <f t="shared" si="0"/>
        <v>0</v>
      </c>
    </row>
    <row r="12" spans="1:14" x14ac:dyDescent="0.25">
      <c r="C12" s="6"/>
      <c r="D12" s="4"/>
      <c r="E12"/>
      <c r="G12" s="4">
        <f t="shared" si="0"/>
        <v>0</v>
      </c>
      <c r="M12" s="2" t="s">
        <v>15</v>
      </c>
    </row>
    <row r="13" spans="1:14" x14ac:dyDescent="0.25">
      <c r="E13"/>
      <c r="G13" s="4">
        <f t="shared" si="0"/>
        <v>0</v>
      </c>
      <c r="M13" s="9">
        <f>SUM(D2:D150)</f>
        <v>0</v>
      </c>
    </row>
    <row r="14" spans="1:14" x14ac:dyDescent="0.25">
      <c r="E14"/>
      <c r="G14" s="4">
        <f t="shared" si="0"/>
        <v>0</v>
      </c>
    </row>
    <row r="15" spans="1:14" x14ac:dyDescent="0.25">
      <c r="C15" s="4"/>
      <c r="D15" s="4"/>
      <c r="E15"/>
      <c r="G15" s="4">
        <f t="shared" si="0"/>
        <v>0</v>
      </c>
    </row>
    <row r="16" spans="1:14" x14ac:dyDescent="0.25">
      <c r="E16"/>
      <c r="G16" s="4">
        <f t="shared" si="0"/>
        <v>0</v>
      </c>
    </row>
    <row r="17" spans="4:7" x14ac:dyDescent="0.25">
      <c r="D17" s="4"/>
      <c r="E17"/>
      <c r="G17" s="4">
        <f t="shared" si="0"/>
        <v>0</v>
      </c>
    </row>
    <row r="18" spans="4:7" x14ac:dyDescent="0.25">
      <c r="D18" s="4"/>
      <c r="E18"/>
      <c r="G18" s="4">
        <f t="shared" si="0"/>
        <v>0</v>
      </c>
    </row>
    <row r="19" spans="4:7" x14ac:dyDescent="0.25">
      <c r="D19" s="4"/>
      <c r="E19"/>
      <c r="G19" s="4">
        <f t="shared" si="0"/>
        <v>0</v>
      </c>
    </row>
    <row r="20" spans="4:7" x14ac:dyDescent="0.25">
      <c r="D20" s="4"/>
      <c r="E20"/>
      <c r="G20" s="4">
        <f t="shared" si="0"/>
        <v>0</v>
      </c>
    </row>
    <row r="21" spans="4:7" x14ac:dyDescent="0.25">
      <c r="D21" s="4"/>
      <c r="E21"/>
      <c r="G21" s="4">
        <f t="shared" si="0"/>
        <v>0</v>
      </c>
    </row>
    <row r="22" spans="4:7" x14ac:dyDescent="0.25">
      <c r="D22" s="4"/>
      <c r="E22"/>
      <c r="G22" s="4">
        <f t="shared" si="0"/>
        <v>0</v>
      </c>
    </row>
    <row r="23" spans="4:7" x14ac:dyDescent="0.25">
      <c r="D23" s="4"/>
      <c r="E23"/>
      <c r="G23" s="4">
        <f t="shared" si="0"/>
        <v>0</v>
      </c>
    </row>
    <row r="24" spans="4:7" x14ac:dyDescent="0.25">
      <c r="D24"/>
      <c r="E24"/>
      <c r="G24" s="4">
        <f t="shared" si="0"/>
        <v>0</v>
      </c>
    </row>
    <row r="25" spans="4:7" x14ac:dyDescent="0.25">
      <c r="D25" s="4"/>
      <c r="E25"/>
      <c r="G25" s="4">
        <f t="shared" si="0"/>
        <v>0</v>
      </c>
    </row>
    <row r="26" spans="4:7" x14ac:dyDescent="0.25">
      <c r="E26"/>
      <c r="G26" s="4">
        <f t="shared" si="0"/>
        <v>0</v>
      </c>
    </row>
    <row r="27" spans="4:7" x14ac:dyDescent="0.25">
      <c r="D27" s="4"/>
      <c r="E27"/>
      <c r="G27" s="4">
        <f t="shared" si="0"/>
        <v>0</v>
      </c>
    </row>
    <row r="28" spans="4:7" x14ac:dyDescent="0.25">
      <c r="D28" s="4"/>
      <c r="E28"/>
      <c r="G28" s="4">
        <f t="shared" si="0"/>
        <v>0</v>
      </c>
    </row>
    <row r="29" spans="4:7" x14ac:dyDescent="0.25">
      <c r="D29" s="4"/>
      <c r="E29"/>
      <c r="G29" s="4">
        <f t="shared" si="0"/>
        <v>0</v>
      </c>
    </row>
    <row r="30" spans="4:7" x14ac:dyDescent="0.25">
      <c r="D30" s="4"/>
      <c r="E30"/>
      <c r="G30" s="4">
        <f t="shared" si="0"/>
        <v>0</v>
      </c>
    </row>
    <row r="31" spans="4:7" x14ac:dyDescent="0.25">
      <c r="E31"/>
      <c r="G31" s="4">
        <f t="shared" si="0"/>
        <v>0</v>
      </c>
    </row>
    <row r="32" spans="4:7" x14ac:dyDescent="0.25">
      <c r="D32" s="4"/>
      <c r="E32"/>
      <c r="G32" s="4">
        <f t="shared" si="0"/>
        <v>0</v>
      </c>
    </row>
    <row r="33" spans="3:7" x14ac:dyDescent="0.25">
      <c r="D33" s="4"/>
      <c r="E33"/>
      <c r="G33" s="4">
        <f t="shared" si="0"/>
        <v>0</v>
      </c>
    </row>
    <row r="34" spans="3:7" x14ac:dyDescent="0.25">
      <c r="D34" s="4"/>
      <c r="E34"/>
      <c r="G34" s="4">
        <f t="shared" si="0"/>
        <v>0</v>
      </c>
    </row>
    <row r="35" spans="3:7" x14ac:dyDescent="0.25">
      <c r="C35" s="4"/>
      <c r="D35" s="4"/>
      <c r="E35"/>
      <c r="G35" s="4">
        <f t="shared" si="0"/>
        <v>0</v>
      </c>
    </row>
    <row r="36" spans="3:7" x14ac:dyDescent="0.25">
      <c r="C36" s="4"/>
      <c r="D36" s="4"/>
      <c r="E36"/>
      <c r="G36" s="4">
        <f t="shared" si="0"/>
        <v>0</v>
      </c>
    </row>
    <row r="37" spans="3:7" x14ac:dyDescent="0.25">
      <c r="D37" s="4"/>
      <c r="E37"/>
      <c r="G37" s="4">
        <f t="shared" si="0"/>
        <v>0</v>
      </c>
    </row>
    <row r="38" spans="3:7" x14ac:dyDescent="0.25">
      <c r="D38" s="4"/>
      <c r="E38"/>
      <c r="G38" s="4">
        <f t="shared" si="0"/>
        <v>0</v>
      </c>
    </row>
    <row r="39" spans="3:7" x14ac:dyDescent="0.25">
      <c r="D39" s="4"/>
      <c r="E39"/>
      <c r="G39" s="4">
        <f t="shared" si="0"/>
        <v>0</v>
      </c>
    </row>
    <row r="40" spans="3:7" x14ac:dyDescent="0.25">
      <c r="D40" s="4"/>
      <c r="E40"/>
      <c r="G40" s="4">
        <f t="shared" si="0"/>
        <v>0</v>
      </c>
    </row>
    <row r="41" spans="3:7" x14ac:dyDescent="0.25">
      <c r="D41" s="4"/>
      <c r="E41"/>
      <c r="G41" s="4">
        <f t="shared" si="0"/>
        <v>0</v>
      </c>
    </row>
    <row r="42" spans="3:7" x14ac:dyDescent="0.25">
      <c r="D42" s="4"/>
      <c r="E42"/>
      <c r="G42" s="4">
        <f t="shared" si="0"/>
        <v>0</v>
      </c>
    </row>
    <row r="43" spans="3:7" x14ac:dyDescent="0.25">
      <c r="D43" s="4"/>
      <c r="E43"/>
      <c r="G43" s="4">
        <f t="shared" si="0"/>
        <v>0</v>
      </c>
    </row>
    <row r="44" spans="3:7" x14ac:dyDescent="0.25">
      <c r="D44" s="4"/>
      <c r="E44"/>
      <c r="G44" s="4">
        <f t="shared" si="0"/>
        <v>0</v>
      </c>
    </row>
    <row r="45" spans="3:7" x14ac:dyDescent="0.25">
      <c r="E45"/>
      <c r="G45" s="4">
        <f t="shared" si="0"/>
        <v>0</v>
      </c>
    </row>
    <row r="46" spans="3:7" x14ac:dyDescent="0.25">
      <c r="C46" s="4"/>
      <c r="D46" s="4"/>
      <c r="E46"/>
      <c r="G46" s="4">
        <f t="shared" si="0"/>
        <v>0</v>
      </c>
    </row>
    <row r="47" spans="3:7" x14ac:dyDescent="0.25">
      <c r="D47" s="4"/>
      <c r="E47"/>
      <c r="G47" s="4">
        <f t="shared" si="0"/>
        <v>0</v>
      </c>
    </row>
    <row r="48" spans="3:7" x14ac:dyDescent="0.25">
      <c r="D48" s="4"/>
      <c r="E48"/>
      <c r="G48" s="4">
        <f t="shared" si="0"/>
        <v>0</v>
      </c>
    </row>
    <row r="49" spans="4:8" x14ac:dyDescent="0.25">
      <c r="D49" s="4"/>
      <c r="E49"/>
      <c r="G49" s="4">
        <f t="shared" si="0"/>
        <v>0</v>
      </c>
    </row>
    <row r="50" spans="4:8" x14ac:dyDescent="0.25">
      <c r="D50" s="4"/>
      <c r="E50"/>
      <c r="G50" s="4">
        <f t="shared" si="0"/>
        <v>0</v>
      </c>
    </row>
    <row r="51" spans="4:8" x14ac:dyDescent="0.25">
      <c r="D51" s="4"/>
      <c r="E51"/>
      <c r="G51" s="4">
        <f t="shared" si="0"/>
        <v>0</v>
      </c>
    </row>
    <row r="52" spans="4:8" x14ac:dyDescent="0.25">
      <c r="D52" s="4"/>
      <c r="E52"/>
      <c r="G52" s="4">
        <f t="shared" si="0"/>
        <v>0</v>
      </c>
    </row>
    <row r="53" spans="4:8" x14ac:dyDescent="0.25">
      <c r="D53" s="4"/>
      <c r="E53"/>
      <c r="G53" s="4">
        <f t="shared" si="0"/>
        <v>0</v>
      </c>
    </row>
    <row r="54" spans="4:8" x14ac:dyDescent="0.25">
      <c r="D54" s="4"/>
      <c r="E54"/>
      <c r="G54" s="4">
        <f t="shared" si="0"/>
        <v>0</v>
      </c>
    </row>
    <row r="55" spans="4:8" x14ac:dyDescent="0.25">
      <c r="D55" s="4"/>
      <c r="E55"/>
      <c r="G55" s="4">
        <f t="shared" si="0"/>
        <v>0</v>
      </c>
    </row>
    <row r="56" spans="4:8" x14ac:dyDescent="0.25">
      <c r="D56" s="4"/>
      <c r="E56"/>
      <c r="G56" s="4">
        <f t="shared" si="0"/>
        <v>0</v>
      </c>
    </row>
    <row r="57" spans="4:8" x14ac:dyDescent="0.25">
      <c r="D57" s="4"/>
      <c r="E57"/>
      <c r="G57" s="4">
        <f t="shared" si="0"/>
        <v>0</v>
      </c>
    </row>
    <row r="58" spans="4:8" x14ac:dyDescent="0.25">
      <c r="D58" s="4"/>
      <c r="E58"/>
      <c r="G58" s="4">
        <f t="shared" si="0"/>
        <v>0</v>
      </c>
    </row>
    <row r="59" spans="4:8" x14ac:dyDescent="0.25">
      <c r="D59" s="4"/>
      <c r="E59"/>
      <c r="G59" s="4">
        <f t="shared" si="0"/>
        <v>0</v>
      </c>
    </row>
    <row r="60" spans="4:8" x14ac:dyDescent="0.25">
      <c r="D60" s="4"/>
      <c r="E60"/>
      <c r="G60" s="4">
        <f t="shared" si="0"/>
        <v>0</v>
      </c>
    </row>
    <row r="61" spans="4:8" x14ac:dyDescent="0.25">
      <c r="D61" s="4"/>
      <c r="E61"/>
      <c r="G61" s="4">
        <f t="shared" si="0"/>
        <v>0</v>
      </c>
    </row>
    <row r="62" spans="4:8" x14ac:dyDescent="0.25">
      <c r="D62" s="4"/>
      <c r="E62"/>
      <c r="G62" s="4">
        <f t="shared" si="0"/>
        <v>0</v>
      </c>
    </row>
    <row r="63" spans="4:8" x14ac:dyDescent="0.25">
      <c r="D63" s="4"/>
      <c r="E63"/>
      <c r="G63" s="4">
        <f t="shared" si="0"/>
        <v>0</v>
      </c>
      <c r="H63" s="4"/>
    </row>
    <row r="64" spans="4:8" x14ac:dyDescent="0.25">
      <c r="D64" s="4"/>
      <c r="E64"/>
      <c r="G64" s="4">
        <f t="shared" si="0"/>
        <v>0</v>
      </c>
      <c r="H64" s="4"/>
    </row>
    <row r="65" spans="4:8" x14ac:dyDescent="0.25">
      <c r="D65" s="4"/>
      <c r="E65"/>
      <c r="G65" s="4">
        <f t="shared" si="0"/>
        <v>0</v>
      </c>
      <c r="H65" s="4"/>
    </row>
    <row r="66" spans="4:8" x14ac:dyDescent="0.25">
      <c r="D66" s="4"/>
      <c r="E66"/>
      <c r="G66" s="4">
        <f t="shared" si="0"/>
        <v>0</v>
      </c>
      <c r="H66" s="4"/>
    </row>
    <row r="67" spans="4:8" x14ac:dyDescent="0.25">
      <c r="E67"/>
      <c r="G67" s="4">
        <f t="shared" ref="G67:G130" si="1">SUMIF($C$2:$C$150,F67,$D$2:$D$150)</f>
        <v>0</v>
      </c>
      <c r="H67" s="4"/>
    </row>
    <row r="68" spans="4:8" x14ac:dyDescent="0.25">
      <c r="D68" s="4"/>
      <c r="E68"/>
      <c r="G68" s="4">
        <f t="shared" si="1"/>
        <v>0</v>
      </c>
      <c r="H68" s="4"/>
    </row>
    <row r="69" spans="4:8" x14ac:dyDescent="0.25">
      <c r="D69" s="4"/>
      <c r="E69"/>
      <c r="G69" s="4">
        <f t="shared" si="1"/>
        <v>0</v>
      </c>
      <c r="H69" s="4"/>
    </row>
    <row r="70" spans="4:8" x14ac:dyDescent="0.25">
      <c r="D70" s="4"/>
      <c r="E70"/>
      <c r="G70" s="4">
        <f t="shared" si="1"/>
        <v>0</v>
      </c>
      <c r="H70" s="4"/>
    </row>
    <row r="71" spans="4:8" x14ac:dyDescent="0.25">
      <c r="D71" s="4"/>
      <c r="E71"/>
      <c r="G71" s="4">
        <f t="shared" si="1"/>
        <v>0</v>
      </c>
      <c r="H71" s="4"/>
    </row>
    <row r="72" spans="4:8" x14ac:dyDescent="0.25">
      <c r="E72"/>
      <c r="G72" s="4">
        <f t="shared" si="1"/>
        <v>0</v>
      </c>
      <c r="H72" s="4"/>
    </row>
    <row r="73" spans="4:8" x14ac:dyDescent="0.25">
      <c r="D73" s="4"/>
      <c r="E73"/>
      <c r="G73" s="4">
        <f t="shared" si="1"/>
        <v>0</v>
      </c>
      <c r="H73" s="4"/>
    </row>
    <row r="74" spans="4:8" x14ac:dyDescent="0.25">
      <c r="D74" s="4"/>
      <c r="E74"/>
      <c r="G74" s="4">
        <f t="shared" si="1"/>
        <v>0</v>
      </c>
      <c r="H74" s="4"/>
    </row>
    <row r="75" spans="4:8" x14ac:dyDescent="0.25">
      <c r="D75" s="4"/>
      <c r="E75"/>
      <c r="G75" s="4">
        <f t="shared" si="1"/>
        <v>0</v>
      </c>
      <c r="H75" s="4"/>
    </row>
    <row r="76" spans="4:8" x14ac:dyDescent="0.25">
      <c r="D76" s="4"/>
      <c r="E76"/>
      <c r="G76" s="4">
        <f t="shared" si="1"/>
        <v>0</v>
      </c>
      <c r="H76" s="4"/>
    </row>
    <row r="77" spans="4:8" x14ac:dyDescent="0.25">
      <c r="D77" s="4"/>
      <c r="E77"/>
      <c r="G77" s="4">
        <f t="shared" si="1"/>
        <v>0</v>
      </c>
      <c r="H77" s="4"/>
    </row>
    <row r="78" spans="4:8" x14ac:dyDescent="0.25">
      <c r="D78" s="4"/>
      <c r="E78"/>
      <c r="G78" s="4">
        <f t="shared" si="1"/>
        <v>0</v>
      </c>
      <c r="H78" s="4"/>
    </row>
    <row r="79" spans="4:8" x14ac:dyDescent="0.25">
      <c r="D79" s="4"/>
      <c r="E79"/>
      <c r="G79" s="4">
        <f t="shared" si="1"/>
        <v>0</v>
      </c>
      <c r="H79" s="4"/>
    </row>
    <row r="80" spans="4:8" x14ac:dyDescent="0.25">
      <c r="D80" s="4"/>
      <c r="E80"/>
      <c r="G80" s="4">
        <f t="shared" si="1"/>
        <v>0</v>
      </c>
      <c r="H80" s="4"/>
    </row>
    <row r="81" spans="3:8" x14ac:dyDescent="0.25">
      <c r="D81" s="4"/>
      <c r="E81"/>
      <c r="G81" s="4">
        <f t="shared" si="1"/>
        <v>0</v>
      </c>
      <c r="H81" s="4"/>
    </row>
    <row r="82" spans="3:8" x14ac:dyDescent="0.25">
      <c r="D82" s="4"/>
      <c r="E82"/>
      <c r="G82" s="4">
        <f t="shared" si="1"/>
        <v>0</v>
      </c>
      <c r="H82" s="4"/>
    </row>
    <row r="83" spans="3:8" x14ac:dyDescent="0.25">
      <c r="C83" s="4"/>
      <c r="D83" s="4"/>
      <c r="E83"/>
      <c r="G83" s="4">
        <f t="shared" si="1"/>
        <v>0</v>
      </c>
      <c r="H83" s="4"/>
    </row>
    <row r="84" spans="3:8" x14ac:dyDescent="0.25">
      <c r="D84" s="4"/>
      <c r="E84"/>
      <c r="G84" s="4">
        <f t="shared" si="1"/>
        <v>0</v>
      </c>
      <c r="H84" s="4"/>
    </row>
    <row r="85" spans="3:8" x14ac:dyDescent="0.25">
      <c r="D85" s="4"/>
      <c r="E85"/>
      <c r="G85" s="4">
        <f t="shared" si="1"/>
        <v>0</v>
      </c>
      <c r="H85" s="4"/>
    </row>
    <row r="86" spans="3:8" x14ac:dyDescent="0.25">
      <c r="D86" s="4"/>
      <c r="E86"/>
      <c r="G86" s="4">
        <f t="shared" si="1"/>
        <v>0</v>
      </c>
      <c r="H86" s="4"/>
    </row>
    <row r="87" spans="3:8" x14ac:dyDescent="0.25">
      <c r="D87" s="4"/>
      <c r="E87"/>
      <c r="G87" s="4">
        <f t="shared" si="1"/>
        <v>0</v>
      </c>
      <c r="H87" s="4"/>
    </row>
    <row r="88" spans="3:8" x14ac:dyDescent="0.25">
      <c r="D88" s="4"/>
      <c r="E88"/>
      <c r="G88" s="4">
        <f t="shared" si="1"/>
        <v>0</v>
      </c>
      <c r="H88" s="4"/>
    </row>
    <row r="89" spans="3:8" x14ac:dyDescent="0.25">
      <c r="D89" s="4"/>
      <c r="E89"/>
      <c r="G89" s="4">
        <f t="shared" si="1"/>
        <v>0</v>
      </c>
      <c r="H89" s="4"/>
    </row>
    <row r="90" spans="3:8" x14ac:dyDescent="0.25">
      <c r="D90" s="4"/>
      <c r="E90"/>
      <c r="G90" s="4">
        <f t="shared" si="1"/>
        <v>0</v>
      </c>
      <c r="H90" s="4"/>
    </row>
    <row r="91" spans="3:8" x14ac:dyDescent="0.25">
      <c r="C91" s="4"/>
      <c r="D91" s="4"/>
      <c r="E91"/>
      <c r="G91" s="4">
        <f t="shared" si="1"/>
        <v>0</v>
      </c>
      <c r="H91" s="4"/>
    </row>
    <row r="92" spans="3:8" x14ac:dyDescent="0.25">
      <c r="D92" s="4"/>
      <c r="E92"/>
      <c r="G92" s="4">
        <f t="shared" si="1"/>
        <v>0</v>
      </c>
      <c r="H92" s="4"/>
    </row>
    <row r="93" spans="3:8" x14ac:dyDescent="0.25">
      <c r="D93" s="4"/>
      <c r="E93"/>
      <c r="G93" s="4">
        <f t="shared" si="1"/>
        <v>0</v>
      </c>
      <c r="H93" s="4"/>
    </row>
    <row r="94" spans="3:8" x14ac:dyDescent="0.25">
      <c r="D94" s="4"/>
      <c r="E94"/>
      <c r="G94" s="4">
        <f t="shared" si="1"/>
        <v>0</v>
      </c>
      <c r="H94" s="5"/>
    </row>
    <row r="95" spans="3:8" x14ac:dyDescent="0.25">
      <c r="D95" s="4"/>
      <c r="G95" s="4">
        <f t="shared" si="1"/>
        <v>0</v>
      </c>
    </row>
    <row r="96" spans="3:8" x14ac:dyDescent="0.25">
      <c r="D96" s="4"/>
      <c r="G96" s="4">
        <f t="shared" si="1"/>
        <v>0</v>
      </c>
    </row>
    <row r="97" spans="4:8" x14ac:dyDescent="0.25">
      <c r="D97" s="4"/>
      <c r="G97" s="4">
        <f t="shared" si="1"/>
        <v>0</v>
      </c>
    </row>
    <row r="98" spans="4:8" x14ac:dyDescent="0.25">
      <c r="D98" s="4"/>
      <c r="G98" s="4">
        <f t="shared" si="1"/>
        <v>0</v>
      </c>
    </row>
    <row r="99" spans="4:8" x14ac:dyDescent="0.25">
      <c r="D99" s="4"/>
      <c r="G99" s="4">
        <f t="shared" si="1"/>
        <v>0</v>
      </c>
    </row>
    <row r="100" spans="4:8" x14ac:dyDescent="0.25">
      <c r="D100" s="4"/>
      <c r="G100" s="4">
        <f t="shared" si="1"/>
        <v>0</v>
      </c>
      <c r="H100" s="4"/>
    </row>
    <row r="101" spans="4:8" x14ac:dyDescent="0.25">
      <c r="D101" s="4"/>
      <c r="G101" s="4">
        <f t="shared" si="1"/>
        <v>0</v>
      </c>
      <c r="H101" s="4"/>
    </row>
    <row r="102" spans="4:8" x14ac:dyDescent="0.25">
      <c r="G102" s="4">
        <f t="shared" si="1"/>
        <v>0</v>
      </c>
      <c r="H102" s="4"/>
    </row>
    <row r="103" spans="4:8" x14ac:dyDescent="0.25">
      <c r="G103" s="4">
        <f t="shared" si="1"/>
        <v>0</v>
      </c>
      <c r="H103" s="4"/>
    </row>
    <row r="104" spans="4:8" x14ac:dyDescent="0.25">
      <c r="G104" s="4">
        <f t="shared" si="1"/>
        <v>0</v>
      </c>
      <c r="H104" s="4"/>
    </row>
    <row r="105" spans="4:8" x14ac:dyDescent="0.25">
      <c r="G105" s="4">
        <f t="shared" si="1"/>
        <v>0</v>
      </c>
    </row>
    <row r="106" spans="4:8" x14ac:dyDescent="0.25">
      <c r="G106" s="4">
        <f t="shared" si="1"/>
        <v>0</v>
      </c>
    </row>
    <row r="107" spans="4:8" x14ac:dyDescent="0.25">
      <c r="G107" s="4">
        <f t="shared" si="1"/>
        <v>0</v>
      </c>
    </row>
    <row r="108" spans="4:8" x14ac:dyDescent="0.25">
      <c r="G108" s="4">
        <f t="shared" si="1"/>
        <v>0</v>
      </c>
    </row>
    <row r="109" spans="4:8" x14ac:dyDescent="0.25">
      <c r="G109" s="4">
        <f t="shared" si="1"/>
        <v>0</v>
      </c>
    </row>
    <row r="110" spans="4:8" x14ac:dyDescent="0.25">
      <c r="G110" s="4">
        <f t="shared" si="1"/>
        <v>0</v>
      </c>
    </row>
    <row r="111" spans="4:8" x14ac:dyDescent="0.25">
      <c r="G111" s="4">
        <f t="shared" si="1"/>
        <v>0</v>
      </c>
    </row>
    <row r="112" spans="4:8" x14ac:dyDescent="0.25">
      <c r="G112" s="4">
        <f t="shared" si="1"/>
        <v>0</v>
      </c>
    </row>
    <row r="113" spans="7:7" x14ac:dyDescent="0.25">
      <c r="G113" s="4">
        <f t="shared" si="1"/>
        <v>0</v>
      </c>
    </row>
    <row r="114" spans="7:7" x14ac:dyDescent="0.25">
      <c r="G114" s="4">
        <f t="shared" si="1"/>
        <v>0</v>
      </c>
    </row>
    <row r="115" spans="7:7" x14ac:dyDescent="0.25">
      <c r="G115" s="4">
        <f t="shared" si="1"/>
        <v>0</v>
      </c>
    </row>
    <row r="116" spans="7:7" x14ac:dyDescent="0.25">
      <c r="G116" s="4">
        <f t="shared" si="1"/>
        <v>0</v>
      </c>
    </row>
    <row r="117" spans="7:7" x14ac:dyDescent="0.25">
      <c r="G117" s="4">
        <f t="shared" si="1"/>
        <v>0</v>
      </c>
    </row>
    <row r="118" spans="7:7" x14ac:dyDescent="0.25">
      <c r="G118" s="4">
        <f t="shared" si="1"/>
        <v>0</v>
      </c>
    </row>
    <row r="119" spans="7:7" x14ac:dyDescent="0.25">
      <c r="G119" s="4">
        <f t="shared" si="1"/>
        <v>0</v>
      </c>
    </row>
    <row r="120" spans="7:7" x14ac:dyDescent="0.25">
      <c r="G120" s="4">
        <f t="shared" si="1"/>
        <v>0</v>
      </c>
    </row>
    <row r="121" spans="7:7" x14ac:dyDescent="0.25">
      <c r="G121" s="4">
        <f t="shared" si="1"/>
        <v>0</v>
      </c>
    </row>
    <row r="122" spans="7:7" x14ac:dyDescent="0.25">
      <c r="G122" s="4">
        <f t="shared" si="1"/>
        <v>0</v>
      </c>
    </row>
    <row r="123" spans="7:7" x14ac:dyDescent="0.25">
      <c r="G123" s="4">
        <f t="shared" si="1"/>
        <v>0</v>
      </c>
    </row>
    <row r="124" spans="7:7" x14ac:dyDescent="0.25">
      <c r="G124" s="4">
        <f t="shared" si="1"/>
        <v>0</v>
      </c>
    </row>
    <row r="125" spans="7:7" x14ac:dyDescent="0.25">
      <c r="G125" s="4">
        <f t="shared" si="1"/>
        <v>0</v>
      </c>
    </row>
    <row r="126" spans="7:7" x14ac:dyDescent="0.25">
      <c r="G126" s="4">
        <f t="shared" si="1"/>
        <v>0</v>
      </c>
    </row>
    <row r="127" spans="7:7" x14ac:dyDescent="0.25">
      <c r="G127" s="4">
        <f t="shared" si="1"/>
        <v>0</v>
      </c>
    </row>
    <row r="128" spans="7:7" x14ac:dyDescent="0.25">
      <c r="G128" s="4">
        <f t="shared" si="1"/>
        <v>0</v>
      </c>
    </row>
    <row r="129" spans="7:7" x14ac:dyDescent="0.25">
      <c r="G129" s="4">
        <f t="shared" si="1"/>
        <v>0</v>
      </c>
    </row>
    <row r="130" spans="7:7" x14ac:dyDescent="0.25">
      <c r="G130" s="4">
        <f t="shared" si="1"/>
        <v>0</v>
      </c>
    </row>
    <row r="131" spans="7:7" x14ac:dyDescent="0.25">
      <c r="G131" s="4">
        <f t="shared" ref="G131:G151" si="2">SUMIF($C$2:$C$150,F131,$D$2:$D$150)</f>
        <v>0</v>
      </c>
    </row>
    <row r="132" spans="7:7" x14ac:dyDescent="0.25">
      <c r="G132" s="4">
        <f t="shared" si="2"/>
        <v>0</v>
      </c>
    </row>
    <row r="133" spans="7:7" x14ac:dyDescent="0.25">
      <c r="G133" s="4">
        <f t="shared" si="2"/>
        <v>0</v>
      </c>
    </row>
    <row r="134" spans="7:7" x14ac:dyDescent="0.25">
      <c r="G134" s="4">
        <f t="shared" si="2"/>
        <v>0</v>
      </c>
    </row>
    <row r="135" spans="7:7" x14ac:dyDescent="0.25">
      <c r="G135" s="4">
        <f t="shared" si="2"/>
        <v>0</v>
      </c>
    </row>
    <row r="136" spans="7:7" x14ac:dyDescent="0.25">
      <c r="G136" s="4">
        <f t="shared" si="2"/>
        <v>0</v>
      </c>
    </row>
    <row r="137" spans="7:7" x14ac:dyDescent="0.25">
      <c r="G137" s="4">
        <f t="shared" si="2"/>
        <v>0</v>
      </c>
    </row>
    <row r="138" spans="7:7" x14ac:dyDescent="0.25">
      <c r="G138" s="4">
        <f t="shared" si="2"/>
        <v>0</v>
      </c>
    </row>
    <row r="139" spans="7:7" x14ac:dyDescent="0.25">
      <c r="G139" s="4">
        <f t="shared" si="2"/>
        <v>0</v>
      </c>
    </row>
    <row r="140" spans="7:7" x14ac:dyDescent="0.25">
      <c r="G140" s="4">
        <f t="shared" si="2"/>
        <v>0</v>
      </c>
    </row>
    <row r="141" spans="7:7" x14ac:dyDescent="0.25">
      <c r="G141" s="4">
        <f t="shared" si="2"/>
        <v>0</v>
      </c>
    </row>
    <row r="142" spans="7:7" x14ac:dyDescent="0.25">
      <c r="G142" s="4">
        <f t="shared" si="2"/>
        <v>0</v>
      </c>
    </row>
    <row r="143" spans="7:7" x14ac:dyDescent="0.25">
      <c r="G143" s="4">
        <f t="shared" si="2"/>
        <v>0</v>
      </c>
    </row>
    <row r="144" spans="7:7" x14ac:dyDescent="0.25">
      <c r="G144" s="4">
        <f t="shared" si="2"/>
        <v>0</v>
      </c>
    </row>
    <row r="145" spans="7:7" x14ac:dyDescent="0.25">
      <c r="G145" s="4">
        <f t="shared" si="2"/>
        <v>0</v>
      </c>
    </row>
    <row r="146" spans="7:7" x14ac:dyDescent="0.25">
      <c r="G146" s="4">
        <f t="shared" si="2"/>
        <v>0</v>
      </c>
    </row>
    <row r="147" spans="7:7" x14ac:dyDescent="0.25">
      <c r="G147" s="4">
        <f t="shared" si="2"/>
        <v>0</v>
      </c>
    </row>
    <row r="148" spans="7:7" x14ac:dyDescent="0.25">
      <c r="G148" s="4">
        <f t="shared" si="2"/>
        <v>0</v>
      </c>
    </row>
    <row r="149" spans="7:7" x14ac:dyDescent="0.25">
      <c r="G149" s="4">
        <f t="shared" si="2"/>
        <v>0</v>
      </c>
    </row>
    <row r="150" spans="7:7" x14ac:dyDescent="0.25">
      <c r="G150" s="4">
        <f t="shared" si="2"/>
        <v>0</v>
      </c>
    </row>
    <row r="151" spans="7:7" x14ac:dyDescent="0.25">
      <c r="G151" s="4">
        <f t="shared" si="2"/>
        <v>0</v>
      </c>
    </row>
  </sheetData>
  <sortState xmlns:xlrd2="http://schemas.microsoft.com/office/spreadsheetml/2017/richdata2" ref="B2:D104">
    <sortCondition ref="B2:B104"/>
    <sortCondition ref="C2:C104"/>
  </sortState>
  <conditionalFormatting sqref="F2:G151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16B7-3D9A-404D-9A0E-C3F2D598322F}">
  <dimension ref="A1:N154"/>
  <sheetViews>
    <sheetView workbookViewId="0">
      <selection activeCell="F2" sqref="F2:G151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7" width="14.42578125" customWidth="1"/>
    <col min="8" max="8" width="14.42578125" bestFit="1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E1" s="2"/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46082</v>
      </c>
      <c r="D2" s="4"/>
      <c r="F2" cm="1">
        <f t="array" ref="F2">_xlfn._xlws.SORT(_xlfn.UNIQUE(C2:C150))</f>
        <v>0</v>
      </c>
      <c r="G2" s="4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D3" s="4"/>
      <c r="G3" s="4">
        <f t="shared" ref="G3:G66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4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F5" s="6"/>
      <c r="G5" s="4">
        <f t="shared" si="0"/>
        <v>0</v>
      </c>
      <c r="I5" s="6"/>
      <c r="M5" t="s">
        <v>11</v>
      </c>
      <c r="N5" s="4">
        <f>SUMIF($H$2:$H$150,"*Who Profits*",$G$2:$G$150)</f>
        <v>0</v>
      </c>
    </row>
    <row r="6" spans="1:14" x14ac:dyDescent="0.25">
      <c r="C6" s="4"/>
      <c r="D6" s="4"/>
      <c r="G6" s="4">
        <f t="shared" si="0"/>
        <v>0</v>
      </c>
    </row>
    <row r="7" spans="1:14" x14ac:dyDescent="0.25">
      <c r="C7" s="4"/>
      <c r="D7" s="4"/>
      <c r="G7" s="4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4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C9" s="4"/>
      <c r="D9" s="8"/>
      <c r="G9" s="4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D10" s="4"/>
      <c r="G10" s="4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D11" s="4"/>
      <c r="G11" s="4">
        <f t="shared" si="0"/>
        <v>0</v>
      </c>
    </row>
    <row r="12" spans="1:14" x14ac:dyDescent="0.25">
      <c r="C12" s="6"/>
      <c r="D12" s="4"/>
      <c r="G12" s="4">
        <f t="shared" si="0"/>
        <v>0</v>
      </c>
      <c r="M12" s="2" t="s">
        <v>15</v>
      </c>
    </row>
    <row r="13" spans="1:14" x14ac:dyDescent="0.25">
      <c r="D13" s="4"/>
      <c r="G13" s="4">
        <f t="shared" si="0"/>
        <v>0</v>
      </c>
      <c r="M13" s="9">
        <f>SUM(D2:D150)</f>
        <v>0</v>
      </c>
    </row>
    <row r="14" spans="1:14" x14ac:dyDescent="0.25">
      <c r="G14" s="4">
        <f t="shared" si="0"/>
        <v>0</v>
      </c>
      <c r="M14" s="5"/>
    </row>
    <row r="15" spans="1:14" x14ac:dyDescent="0.25">
      <c r="D15" s="4"/>
      <c r="G15" s="4">
        <f t="shared" si="0"/>
        <v>0</v>
      </c>
    </row>
    <row r="16" spans="1:14" x14ac:dyDescent="0.25">
      <c r="G16" s="4">
        <f t="shared" si="0"/>
        <v>0</v>
      </c>
    </row>
    <row r="17" spans="4:7" x14ac:dyDescent="0.25">
      <c r="D17" s="4"/>
      <c r="G17" s="4">
        <f t="shared" si="0"/>
        <v>0</v>
      </c>
    </row>
    <row r="18" spans="4:7" x14ac:dyDescent="0.25">
      <c r="D18" s="4"/>
      <c r="G18" s="4">
        <f t="shared" si="0"/>
        <v>0</v>
      </c>
    </row>
    <row r="19" spans="4:7" x14ac:dyDescent="0.25">
      <c r="D19" s="4"/>
      <c r="G19" s="4">
        <f t="shared" si="0"/>
        <v>0</v>
      </c>
    </row>
    <row r="20" spans="4:7" x14ac:dyDescent="0.25">
      <c r="D20" s="4"/>
      <c r="G20" s="4">
        <f t="shared" si="0"/>
        <v>0</v>
      </c>
    </row>
    <row r="21" spans="4:7" x14ac:dyDescent="0.25">
      <c r="D21" s="4"/>
      <c r="G21" s="4">
        <f t="shared" si="0"/>
        <v>0</v>
      </c>
    </row>
    <row r="22" spans="4:7" x14ac:dyDescent="0.25">
      <c r="D22" s="4"/>
      <c r="G22" s="4">
        <f t="shared" si="0"/>
        <v>0</v>
      </c>
    </row>
    <row r="23" spans="4:7" x14ac:dyDescent="0.25">
      <c r="D23" s="4"/>
      <c r="G23" s="4">
        <f t="shared" si="0"/>
        <v>0</v>
      </c>
    </row>
    <row r="24" spans="4:7" x14ac:dyDescent="0.25">
      <c r="D24" s="4"/>
      <c r="G24" s="4">
        <f t="shared" si="0"/>
        <v>0</v>
      </c>
    </row>
    <row r="25" spans="4:7" x14ac:dyDescent="0.25">
      <c r="D25" s="4"/>
      <c r="G25" s="4">
        <f t="shared" si="0"/>
        <v>0</v>
      </c>
    </row>
    <row r="26" spans="4:7" x14ac:dyDescent="0.25">
      <c r="D26" s="4"/>
      <c r="G26" s="4">
        <f t="shared" si="0"/>
        <v>0</v>
      </c>
    </row>
    <row r="27" spans="4:7" x14ac:dyDescent="0.25">
      <c r="D27" s="4"/>
      <c r="G27" s="4">
        <f t="shared" si="0"/>
        <v>0</v>
      </c>
    </row>
    <row r="28" spans="4:7" x14ac:dyDescent="0.25">
      <c r="D28" s="4"/>
      <c r="G28" s="4">
        <f t="shared" si="0"/>
        <v>0</v>
      </c>
    </row>
    <row r="29" spans="4:7" x14ac:dyDescent="0.25">
      <c r="G29" s="4">
        <f t="shared" si="0"/>
        <v>0</v>
      </c>
    </row>
    <row r="30" spans="4:7" x14ac:dyDescent="0.25">
      <c r="D30" s="4"/>
      <c r="G30" s="4">
        <f t="shared" si="0"/>
        <v>0</v>
      </c>
    </row>
    <row r="31" spans="4:7" x14ac:dyDescent="0.25">
      <c r="D31" s="4"/>
      <c r="G31" s="4">
        <f t="shared" si="0"/>
        <v>0</v>
      </c>
    </row>
    <row r="32" spans="4:7" x14ac:dyDescent="0.25">
      <c r="D32" s="4"/>
      <c r="G32" s="4">
        <f t="shared" si="0"/>
        <v>0</v>
      </c>
    </row>
    <row r="33" spans="3:7" x14ac:dyDescent="0.25">
      <c r="D33" s="4"/>
      <c r="G33" s="4">
        <f t="shared" si="0"/>
        <v>0</v>
      </c>
    </row>
    <row r="34" spans="3:7" x14ac:dyDescent="0.25">
      <c r="D34" s="4"/>
      <c r="G34" s="4">
        <f t="shared" si="0"/>
        <v>0</v>
      </c>
    </row>
    <row r="35" spans="3:7" x14ac:dyDescent="0.25">
      <c r="D35" s="4"/>
      <c r="G35" s="4">
        <f t="shared" si="0"/>
        <v>0</v>
      </c>
    </row>
    <row r="36" spans="3:7" x14ac:dyDescent="0.25">
      <c r="D36" s="4"/>
      <c r="G36" s="4">
        <f t="shared" si="0"/>
        <v>0</v>
      </c>
    </row>
    <row r="37" spans="3:7" x14ac:dyDescent="0.25">
      <c r="D37" s="4"/>
      <c r="G37" s="4">
        <f t="shared" si="0"/>
        <v>0</v>
      </c>
    </row>
    <row r="38" spans="3:7" x14ac:dyDescent="0.25">
      <c r="C38" s="4"/>
      <c r="D38" s="4"/>
      <c r="G38" s="4">
        <f t="shared" si="0"/>
        <v>0</v>
      </c>
    </row>
    <row r="39" spans="3:7" x14ac:dyDescent="0.25">
      <c r="D39" s="4"/>
      <c r="G39" s="4">
        <f t="shared" si="0"/>
        <v>0</v>
      </c>
    </row>
    <row r="40" spans="3:7" x14ac:dyDescent="0.25">
      <c r="D40" s="4"/>
      <c r="G40" s="4">
        <f t="shared" si="0"/>
        <v>0</v>
      </c>
    </row>
    <row r="41" spans="3:7" x14ac:dyDescent="0.25">
      <c r="D41" s="4"/>
      <c r="G41" s="4">
        <f t="shared" si="0"/>
        <v>0</v>
      </c>
    </row>
    <row r="42" spans="3:7" x14ac:dyDescent="0.25">
      <c r="D42" s="4"/>
      <c r="G42" s="4">
        <f t="shared" si="0"/>
        <v>0</v>
      </c>
    </row>
    <row r="43" spans="3:7" x14ac:dyDescent="0.25">
      <c r="D43" s="4"/>
      <c r="G43" s="4">
        <f t="shared" si="0"/>
        <v>0</v>
      </c>
    </row>
    <row r="44" spans="3:7" x14ac:dyDescent="0.25">
      <c r="D44" s="4"/>
      <c r="G44" s="4">
        <f t="shared" si="0"/>
        <v>0</v>
      </c>
    </row>
    <row r="45" spans="3:7" x14ac:dyDescent="0.25">
      <c r="D45" s="4"/>
      <c r="G45" s="4">
        <f t="shared" si="0"/>
        <v>0</v>
      </c>
    </row>
    <row r="46" spans="3:7" x14ac:dyDescent="0.25">
      <c r="D46" s="4"/>
      <c r="G46" s="4">
        <f t="shared" si="0"/>
        <v>0</v>
      </c>
    </row>
    <row r="47" spans="3:7" x14ac:dyDescent="0.25">
      <c r="D47" s="4"/>
      <c r="G47" s="4">
        <f t="shared" si="0"/>
        <v>0</v>
      </c>
    </row>
    <row r="48" spans="3:7" x14ac:dyDescent="0.25">
      <c r="G48" s="4">
        <f t="shared" si="0"/>
        <v>0</v>
      </c>
    </row>
    <row r="49" spans="4:8" x14ac:dyDescent="0.25">
      <c r="D49" s="4"/>
      <c r="G49" s="4">
        <f t="shared" si="0"/>
        <v>0</v>
      </c>
    </row>
    <row r="50" spans="4:8" x14ac:dyDescent="0.25">
      <c r="D50" s="4"/>
      <c r="G50" s="4">
        <f t="shared" si="0"/>
        <v>0</v>
      </c>
    </row>
    <row r="51" spans="4:8" x14ac:dyDescent="0.25">
      <c r="D51" s="4"/>
      <c r="G51" s="4">
        <f t="shared" si="0"/>
        <v>0</v>
      </c>
    </row>
    <row r="52" spans="4:8" x14ac:dyDescent="0.25">
      <c r="D52" s="4"/>
      <c r="G52" s="4">
        <f t="shared" si="0"/>
        <v>0</v>
      </c>
    </row>
    <row r="53" spans="4:8" x14ac:dyDescent="0.25">
      <c r="D53" s="4"/>
      <c r="G53" s="4">
        <f t="shared" si="0"/>
        <v>0</v>
      </c>
    </row>
    <row r="54" spans="4:8" x14ac:dyDescent="0.25">
      <c r="D54" s="4"/>
      <c r="G54" s="4">
        <f t="shared" si="0"/>
        <v>0</v>
      </c>
    </row>
    <row r="55" spans="4:8" x14ac:dyDescent="0.25">
      <c r="D55" s="4"/>
      <c r="G55" s="4">
        <f t="shared" si="0"/>
        <v>0</v>
      </c>
    </row>
    <row r="56" spans="4:8" x14ac:dyDescent="0.25">
      <c r="D56" s="4"/>
      <c r="G56" s="4">
        <f t="shared" si="0"/>
        <v>0</v>
      </c>
    </row>
    <row r="57" spans="4:8" x14ac:dyDescent="0.25">
      <c r="D57" s="4"/>
      <c r="G57" s="4">
        <f t="shared" si="0"/>
        <v>0</v>
      </c>
    </row>
    <row r="58" spans="4:8" x14ac:dyDescent="0.25">
      <c r="D58" s="4"/>
      <c r="G58" s="4">
        <f t="shared" si="0"/>
        <v>0</v>
      </c>
    </row>
    <row r="59" spans="4:8" x14ac:dyDescent="0.25">
      <c r="D59" s="4"/>
      <c r="G59" s="4">
        <f t="shared" si="0"/>
        <v>0</v>
      </c>
    </row>
    <row r="60" spans="4:8" x14ac:dyDescent="0.25">
      <c r="D60" s="4"/>
      <c r="G60" s="4">
        <f t="shared" si="0"/>
        <v>0</v>
      </c>
    </row>
    <row r="61" spans="4:8" x14ac:dyDescent="0.25">
      <c r="D61" s="4"/>
      <c r="G61" s="4">
        <f t="shared" si="0"/>
        <v>0</v>
      </c>
    </row>
    <row r="62" spans="4:8" x14ac:dyDescent="0.25">
      <c r="D62" s="4"/>
      <c r="G62" s="4">
        <f t="shared" si="0"/>
        <v>0</v>
      </c>
    </row>
    <row r="63" spans="4:8" x14ac:dyDescent="0.25">
      <c r="D63" s="4"/>
      <c r="G63" s="4">
        <f t="shared" si="0"/>
        <v>0</v>
      </c>
      <c r="H63" s="4"/>
    </row>
    <row r="64" spans="4:8" x14ac:dyDescent="0.25">
      <c r="D64" s="4"/>
      <c r="G64" s="4">
        <f t="shared" si="0"/>
        <v>0</v>
      </c>
      <c r="H64" s="4"/>
    </row>
    <row r="65" spans="4:8" x14ac:dyDescent="0.25">
      <c r="D65" s="4"/>
      <c r="G65" s="4">
        <f t="shared" si="0"/>
        <v>0</v>
      </c>
      <c r="H65" s="4"/>
    </row>
    <row r="66" spans="4:8" x14ac:dyDescent="0.25">
      <c r="D66" s="4"/>
      <c r="G66" s="4">
        <f t="shared" si="0"/>
        <v>0</v>
      </c>
      <c r="H66" s="4"/>
    </row>
    <row r="67" spans="4:8" x14ac:dyDescent="0.25">
      <c r="D67" s="4"/>
      <c r="G67" s="4">
        <f t="shared" ref="G67:G130" si="1">SUMIF($C$2:$C$150,F67,$D$2:$D$150)</f>
        <v>0</v>
      </c>
      <c r="H67" s="4"/>
    </row>
    <row r="68" spans="4:8" x14ac:dyDescent="0.25">
      <c r="D68" s="4"/>
      <c r="G68" s="4">
        <f t="shared" si="1"/>
        <v>0</v>
      </c>
      <c r="H68" s="4"/>
    </row>
    <row r="69" spans="4:8" x14ac:dyDescent="0.25">
      <c r="D69" s="4"/>
      <c r="G69" s="4">
        <f t="shared" si="1"/>
        <v>0</v>
      </c>
      <c r="H69" s="4"/>
    </row>
    <row r="70" spans="4:8" x14ac:dyDescent="0.25">
      <c r="D70" s="4"/>
      <c r="G70" s="4">
        <f t="shared" si="1"/>
        <v>0</v>
      </c>
      <c r="H70" s="4"/>
    </row>
    <row r="71" spans="4:8" x14ac:dyDescent="0.25">
      <c r="D71" s="10"/>
      <c r="G71" s="4">
        <f t="shared" si="1"/>
        <v>0</v>
      </c>
      <c r="H71" s="4"/>
    </row>
    <row r="72" spans="4:8" x14ac:dyDescent="0.25">
      <c r="D72" s="4"/>
      <c r="G72" s="4">
        <f t="shared" si="1"/>
        <v>0</v>
      </c>
      <c r="H72" s="4"/>
    </row>
    <row r="73" spans="4:8" x14ac:dyDescent="0.25">
      <c r="D73" s="4"/>
      <c r="G73" s="4">
        <f t="shared" si="1"/>
        <v>0</v>
      </c>
      <c r="H73" s="4"/>
    </row>
    <row r="74" spans="4:8" x14ac:dyDescent="0.25">
      <c r="D74" s="4"/>
      <c r="G74" s="4">
        <f t="shared" si="1"/>
        <v>0</v>
      </c>
      <c r="H74" s="4"/>
    </row>
    <row r="75" spans="4:8" x14ac:dyDescent="0.25">
      <c r="D75" s="4"/>
      <c r="G75" s="4">
        <f t="shared" si="1"/>
        <v>0</v>
      </c>
      <c r="H75" s="4"/>
    </row>
    <row r="76" spans="4:8" x14ac:dyDescent="0.25">
      <c r="G76" s="4">
        <f t="shared" si="1"/>
        <v>0</v>
      </c>
      <c r="H76" s="4"/>
    </row>
    <row r="77" spans="4:8" x14ac:dyDescent="0.25">
      <c r="D77" s="4"/>
      <c r="G77" s="4">
        <f t="shared" si="1"/>
        <v>0</v>
      </c>
      <c r="H77" s="4"/>
    </row>
    <row r="78" spans="4:8" x14ac:dyDescent="0.25">
      <c r="D78" s="4"/>
      <c r="G78" s="4">
        <f t="shared" si="1"/>
        <v>0</v>
      </c>
      <c r="H78" s="4"/>
    </row>
    <row r="79" spans="4:8" x14ac:dyDescent="0.25">
      <c r="D79" s="4"/>
      <c r="G79" s="4">
        <f t="shared" si="1"/>
        <v>0</v>
      </c>
      <c r="H79" s="4"/>
    </row>
    <row r="80" spans="4:8" x14ac:dyDescent="0.25">
      <c r="D80" s="4"/>
      <c r="G80" s="4">
        <f t="shared" si="1"/>
        <v>0</v>
      </c>
      <c r="H80" s="4"/>
    </row>
    <row r="81" spans="3:8" x14ac:dyDescent="0.25">
      <c r="D81" s="4"/>
      <c r="G81" s="4">
        <f t="shared" si="1"/>
        <v>0</v>
      </c>
      <c r="H81" s="4"/>
    </row>
    <row r="82" spans="3:8" x14ac:dyDescent="0.25">
      <c r="D82" s="4"/>
      <c r="G82" s="4">
        <f t="shared" si="1"/>
        <v>0</v>
      </c>
      <c r="H82" s="4"/>
    </row>
    <row r="83" spans="3:8" x14ac:dyDescent="0.25">
      <c r="D83" s="4"/>
      <c r="G83" s="4">
        <f t="shared" si="1"/>
        <v>0</v>
      </c>
      <c r="H83" s="4"/>
    </row>
    <row r="84" spans="3:8" x14ac:dyDescent="0.25">
      <c r="D84" s="4"/>
      <c r="G84" s="4">
        <f t="shared" si="1"/>
        <v>0</v>
      </c>
      <c r="H84" s="4"/>
    </row>
    <row r="85" spans="3:8" x14ac:dyDescent="0.25">
      <c r="D85" s="4"/>
      <c r="G85" s="4">
        <f t="shared" si="1"/>
        <v>0</v>
      </c>
      <c r="H85" s="4"/>
    </row>
    <row r="86" spans="3:8" x14ac:dyDescent="0.25">
      <c r="D86" s="4"/>
      <c r="G86" s="4">
        <f t="shared" si="1"/>
        <v>0</v>
      </c>
      <c r="H86" s="4"/>
    </row>
    <row r="87" spans="3:8" x14ac:dyDescent="0.25">
      <c r="C87" s="4"/>
      <c r="D87" s="4"/>
      <c r="G87" s="4">
        <f t="shared" si="1"/>
        <v>0</v>
      </c>
      <c r="H87" s="4"/>
    </row>
    <row r="88" spans="3:8" x14ac:dyDescent="0.25">
      <c r="D88" s="4"/>
      <c r="G88" s="4">
        <f t="shared" si="1"/>
        <v>0</v>
      </c>
      <c r="H88" s="4"/>
    </row>
    <row r="89" spans="3:8" x14ac:dyDescent="0.25">
      <c r="D89" s="4"/>
      <c r="G89" s="4">
        <f t="shared" si="1"/>
        <v>0</v>
      </c>
      <c r="H89" s="4"/>
    </row>
    <row r="90" spans="3:8" x14ac:dyDescent="0.25">
      <c r="D90" s="4"/>
      <c r="G90" s="4">
        <f t="shared" si="1"/>
        <v>0</v>
      </c>
      <c r="H90" s="4"/>
    </row>
    <row r="91" spans="3:8" x14ac:dyDescent="0.25">
      <c r="D91" s="4"/>
      <c r="G91" s="4">
        <f t="shared" si="1"/>
        <v>0</v>
      </c>
      <c r="H91" s="4"/>
    </row>
    <row r="92" spans="3:8" x14ac:dyDescent="0.25">
      <c r="D92" s="4"/>
      <c r="G92" s="4">
        <f t="shared" si="1"/>
        <v>0</v>
      </c>
      <c r="H92" s="4"/>
    </row>
    <row r="93" spans="3:8" x14ac:dyDescent="0.25">
      <c r="D93" s="4"/>
      <c r="G93" s="4">
        <f t="shared" si="1"/>
        <v>0</v>
      </c>
      <c r="H93" s="4"/>
    </row>
    <row r="94" spans="3:8" x14ac:dyDescent="0.25">
      <c r="D94" s="4"/>
      <c r="G94" s="4">
        <f t="shared" si="1"/>
        <v>0</v>
      </c>
      <c r="H94" s="4"/>
    </row>
    <row r="95" spans="3:8" x14ac:dyDescent="0.25">
      <c r="D95" s="4"/>
      <c r="G95" s="4">
        <f t="shared" si="1"/>
        <v>0</v>
      </c>
      <c r="H95" s="4"/>
    </row>
    <row r="96" spans="3:8" x14ac:dyDescent="0.25">
      <c r="D96" s="4"/>
      <c r="G96" s="4">
        <f t="shared" si="1"/>
        <v>0</v>
      </c>
      <c r="H96" s="4"/>
    </row>
    <row r="97" spans="4:8" x14ac:dyDescent="0.25">
      <c r="D97" s="4"/>
      <c r="G97" s="4">
        <f t="shared" si="1"/>
        <v>0</v>
      </c>
      <c r="H97" s="4"/>
    </row>
    <row r="98" spans="4:8" x14ac:dyDescent="0.25">
      <c r="D98" s="4"/>
      <c r="E98" s="5"/>
      <c r="G98" s="4">
        <f t="shared" si="1"/>
        <v>0</v>
      </c>
      <c r="H98" s="5"/>
    </row>
    <row r="99" spans="4:8" x14ac:dyDescent="0.25">
      <c r="D99" s="4"/>
      <c r="E99" s="4"/>
      <c r="G99" s="4">
        <f t="shared" si="1"/>
        <v>0</v>
      </c>
    </row>
    <row r="100" spans="4:8" x14ac:dyDescent="0.25">
      <c r="D100" s="4"/>
      <c r="E100" s="4"/>
      <c r="G100" s="4">
        <f t="shared" si="1"/>
        <v>0</v>
      </c>
      <c r="H100" s="4"/>
    </row>
    <row r="101" spans="4:8" x14ac:dyDescent="0.25">
      <c r="D101" s="4"/>
      <c r="E101" s="4"/>
      <c r="G101" s="4">
        <f t="shared" si="1"/>
        <v>0</v>
      </c>
      <c r="H101" s="4"/>
    </row>
    <row r="102" spans="4:8" x14ac:dyDescent="0.25">
      <c r="D102" s="11"/>
      <c r="E102" s="4"/>
      <c r="G102" s="4">
        <f t="shared" si="1"/>
        <v>0</v>
      </c>
      <c r="H102" s="4"/>
    </row>
    <row r="103" spans="4:8" x14ac:dyDescent="0.25">
      <c r="D103" s="4"/>
      <c r="E103" s="4"/>
      <c r="G103" s="4">
        <f t="shared" si="1"/>
        <v>0</v>
      </c>
      <c r="H103" s="4"/>
    </row>
    <row r="104" spans="4:8" x14ac:dyDescent="0.25">
      <c r="D104" s="4"/>
      <c r="E104" s="4"/>
      <c r="G104" s="4">
        <f t="shared" si="1"/>
        <v>0</v>
      </c>
      <c r="H104" s="4"/>
    </row>
    <row r="105" spans="4:8" x14ac:dyDescent="0.25">
      <c r="D105" s="4"/>
      <c r="E105" s="4"/>
      <c r="G105" s="4">
        <f t="shared" si="1"/>
        <v>0</v>
      </c>
    </row>
    <row r="106" spans="4:8" x14ac:dyDescent="0.25">
      <c r="D106" s="4"/>
      <c r="E106" s="4"/>
      <c r="G106" s="4">
        <f t="shared" si="1"/>
        <v>0</v>
      </c>
    </row>
    <row r="107" spans="4:8" x14ac:dyDescent="0.25">
      <c r="D107" s="4"/>
      <c r="E107" s="4"/>
      <c r="G107" s="4">
        <f t="shared" si="1"/>
        <v>0</v>
      </c>
    </row>
    <row r="108" spans="4:8" x14ac:dyDescent="0.25">
      <c r="D108" s="4"/>
      <c r="E108" s="4"/>
      <c r="G108" s="4">
        <f t="shared" si="1"/>
        <v>0</v>
      </c>
    </row>
    <row r="109" spans="4:8" x14ac:dyDescent="0.25">
      <c r="D109" s="4"/>
      <c r="E109" s="4"/>
      <c r="G109" s="4">
        <f t="shared" si="1"/>
        <v>0</v>
      </c>
    </row>
    <row r="110" spans="4:8" x14ac:dyDescent="0.25">
      <c r="D110" s="4"/>
      <c r="E110" s="4"/>
      <c r="G110" s="4">
        <f t="shared" si="1"/>
        <v>0</v>
      </c>
    </row>
    <row r="111" spans="4:8" x14ac:dyDescent="0.25">
      <c r="D111" s="4"/>
      <c r="E111" s="4"/>
      <c r="G111" s="4">
        <f t="shared" si="1"/>
        <v>0</v>
      </c>
    </row>
    <row r="112" spans="4:8" x14ac:dyDescent="0.25">
      <c r="E112" s="4"/>
      <c r="G112" s="4">
        <f t="shared" si="1"/>
        <v>0</v>
      </c>
    </row>
    <row r="113" spans="5:7" x14ac:dyDescent="0.25">
      <c r="E113" s="4"/>
      <c r="G113" s="4">
        <f t="shared" si="1"/>
        <v>0</v>
      </c>
    </row>
    <row r="114" spans="5:7" x14ac:dyDescent="0.25">
      <c r="E114" s="4"/>
      <c r="G114" s="4">
        <f t="shared" si="1"/>
        <v>0</v>
      </c>
    </row>
    <row r="115" spans="5:7" x14ac:dyDescent="0.25">
      <c r="E115" s="4"/>
      <c r="G115" s="4">
        <f t="shared" si="1"/>
        <v>0</v>
      </c>
    </row>
    <row r="116" spans="5:7" x14ac:dyDescent="0.25">
      <c r="E116" s="4"/>
      <c r="G116" s="4">
        <f t="shared" si="1"/>
        <v>0</v>
      </c>
    </row>
    <row r="117" spans="5:7" x14ac:dyDescent="0.25">
      <c r="E117" s="4"/>
      <c r="G117" s="4">
        <f t="shared" si="1"/>
        <v>0</v>
      </c>
    </row>
    <row r="118" spans="5:7" x14ac:dyDescent="0.25">
      <c r="E118" s="4"/>
      <c r="G118" s="4">
        <f t="shared" si="1"/>
        <v>0</v>
      </c>
    </row>
    <row r="119" spans="5:7" x14ac:dyDescent="0.25">
      <c r="E119" s="4"/>
      <c r="G119" s="4">
        <f t="shared" si="1"/>
        <v>0</v>
      </c>
    </row>
    <row r="120" spans="5:7" x14ac:dyDescent="0.25">
      <c r="E120" s="4"/>
      <c r="G120" s="4">
        <f t="shared" si="1"/>
        <v>0</v>
      </c>
    </row>
    <row r="121" spans="5:7" x14ac:dyDescent="0.25">
      <c r="E121" s="4"/>
      <c r="G121" s="4">
        <f t="shared" si="1"/>
        <v>0</v>
      </c>
    </row>
    <row r="122" spans="5:7" x14ac:dyDescent="0.25">
      <c r="E122" s="4"/>
      <c r="G122" s="4">
        <f t="shared" si="1"/>
        <v>0</v>
      </c>
    </row>
    <row r="123" spans="5:7" x14ac:dyDescent="0.25">
      <c r="E123" s="4"/>
      <c r="G123" s="4">
        <f t="shared" si="1"/>
        <v>0</v>
      </c>
    </row>
    <row r="124" spans="5:7" x14ac:dyDescent="0.25">
      <c r="E124" s="4"/>
      <c r="G124" s="4">
        <f t="shared" si="1"/>
        <v>0</v>
      </c>
    </row>
    <row r="125" spans="5:7" x14ac:dyDescent="0.25">
      <c r="G125" s="4">
        <f t="shared" si="1"/>
        <v>0</v>
      </c>
    </row>
    <row r="126" spans="5:7" x14ac:dyDescent="0.25">
      <c r="G126" s="4">
        <f t="shared" si="1"/>
        <v>0</v>
      </c>
    </row>
    <row r="127" spans="5:7" x14ac:dyDescent="0.25">
      <c r="G127" s="4">
        <f t="shared" si="1"/>
        <v>0</v>
      </c>
    </row>
    <row r="128" spans="5:7" x14ac:dyDescent="0.25">
      <c r="G128" s="4">
        <f t="shared" si="1"/>
        <v>0</v>
      </c>
    </row>
    <row r="129" spans="7:7" x14ac:dyDescent="0.25">
      <c r="G129" s="4">
        <f t="shared" si="1"/>
        <v>0</v>
      </c>
    </row>
    <row r="130" spans="7:7" x14ac:dyDescent="0.25">
      <c r="G130" s="4">
        <f t="shared" si="1"/>
        <v>0</v>
      </c>
    </row>
    <row r="131" spans="7:7" x14ac:dyDescent="0.25">
      <c r="G131" s="4">
        <f t="shared" ref="G131:G151" si="2">SUMIF($C$2:$C$150,F131,$D$2:$D$150)</f>
        <v>0</v>
      </c>
    </row>
    <row r="132" spans="7:7" x14ac:dyDescent="0.25">
      <c r="G132" s="4">
        <f t="shared" si="2"/>
        <v>0</v>
      </c>
    </row>
    <row r="133" spans="7:7" x14ac:dyDescent="0.25">
      <c r="G133" s="4">
        <f t="shared" si="2"/>
        <v>0</v>
      </c>
    </row>
    <row r="134" spans="7:7" x14ac:dyDescent="0.25">
      <c r="G134" s="4">
        <f t="shared" si="2"/>
        <v>0</v>
      </c>
    </row>
    <row r="135" spans="7:7" x14ac:dyDescent="0.25">
      <c r="G135" s="4">
        <f t="shared" si="2"/>
        <v>0</v>
      </c>
    </row>
    <row r="136" spans="7:7" x14ac:dyDescent="0.25">
      <c r="G136" s="4">
        <f t="shared" si="2"/>
        <v>0</v>
      </c>
    </row>
    <row r="137" spans="7:7" x14ac:dyDescent="0.25">
      <c r="G137" s="4">
        <f t="shared" si="2"/>
        <v>0</v>
      </c>
    </row>
    <row r="138" spans="7:7" x14ac:dyDescent="0.25">
      <c r="G138" s="4">
        <f t="shared" si="2"/>
        <v>0</v>
      </c>
    </row>
    <row r="139" spans="7:7" x14ac:dyDescent="0.25">
      <c r="G139" s="4">
        <f t="shared" si="2"/>
        <v>0</v>
      </c>
    </row>
    <row r="140" spans="7:7" x14ac:dyDescent="0.25">
      <c r="G140" s="4">
        <f t="shared" si="2"/>
        <v>0</v>
      </c>
    </row>
    <row r="141" spans="7:7" x14ac:dyDescent="0.25">
      <c r="G141" s="4">
        <f t="shared" si="2"/>
        <v>0</v>
      </c>
    </row>
    <row r="142" spans="7:7" x14ac:dyDescent="0.25">
      <c r="G142" s="4">
        <f t="shared" si="2"/>
        <v>0</v>
      </c>
    </row>
    <row r="143" spans="7:7" x14ac:dyDescent="0.25">
      <c r="G143" s="4">
        <f t="shared" si="2"/>
        <v>0</v>
      </c>
    </row>
    <row r="144" spans="7:7" x14ac:dyDescent="0.25">
      <c r="G144" s="4">
        <f t="shared" si="2"/>
        <v>0</v>
      </c>
    </row>
    <row r="145" spans="4:7" x14ac:dyDescent="0.25">
      <c r="G145" s="4">
        <f t="shared" si="2"/>
        <v>0</v>
      </c>
    </row>
    <row r="146" spans="4:7" x14ac:dyDescent="0.25">
      <c r="G146" s="4">
        <f t="shared" si="2"/>
        <v>0</v>
      </c>
    </row>
    <row r="147" spans="4:7" x14ac:dyDescent="0.25">
      <c r="G147" s="4">
        <f t="shared" si="2"/>
        <v>0</v>
      </c>
    </row>
    <row r="148" spans="4:7" x14ac:dyDescent="0.25">
      <c r="G148" s="4">
        <f t="shared" si="2"/>
        <v>0</v>
      </c>
    </row>
    <row r="149" spans="4:7" x14ac:dyDescent="0.25">
      <c r="G149" s="4">
        <f t="shared" si="2"/>
        <v>0</v>
      </c>
    </row>
    <row r="150" spans="4:7" x14ac:dyDescent="0.25">
      <c r="G150" s="4">
        <f t="shared" si="2"/>
        <v>0</v>
      </c>
    </row>
    <row r="151" spans="4:7" x14ac:dyDescent="0.25">
      <c r="G151" s="4">
        <f t="shared" si="2"/>
        <v>0</v>
      </c>
    </row>
    <row r="154" spans="4:7" x14ac:dyDescent="0.25">
      <c r="D154" s="4"/>
    </row>
  </sheetData>
  <sortState xmlns:xlrd2="http://schemas.microsoft.com/office/spreadsheetml/2017/richdata2" ref="B2:D154">
    <sortCondition ref="B2:B154"/>
    <sortCondition ref="C2:C154"/>
  </sortState>
  <conditionalFormatting sqref="F2:G151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7BF5-C66E-41F6-B036-9830FD02F554}">
  <dimension ref="A1:N151"/>
  <sheetViews>
    <sheetView workbookViewId="0">
      <selection activeCell="F2" sqref="F2:G151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7" width="14.28515625" bestFit="1" customWidth="1"/>
    <col min="8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46113</v>
      </c>
      <c r="F2" cm="1">
        <f t="array" ref="F2">_xlfn._xlws.SORT(_xlfn.UNIQUE(C2:C150))</f>
        <v>0</v>
      </c>
      <c r="G2" s="4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4">
        <f t="shared" ref="G3:G66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G4" s="4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F5" s="6"/>
      <c r="G5" s="4">
        <f t="shared" si="0"/>
        <v>0</v>
      </c>
      <c r="I5" s="6"/>
      <c r="M5" t="s">
        <v>11</v>
      </c>
      <c r="N5" s="4">
        <f>SUMIF($H$2:$H$150,"*Who Profits*",$G$2:$G$150)</f>
        <v>0</v>
      </c>
    </row>
    <row r="6" spans="1:14" x14ac:dyDescent="0.25">
      <c r="C6" s="4"/>
      <c r="G6" s="4">
        <f t="shared" si="0"/>
        <v>0</v>
      </c>
    </row>
    <row r="7" spans="1:14" x14ac:dyDescent="0.25">
      <c r="G7" s="4">
        <f t="shared" si="0"/>
        <v>0</v>
      </c>
      <c r="M7" s="2" t="s">
        <v>14</v>
      </c>
      <c r="N7" s="2" t="s">
        <v>4</v>
      </c>
    </row>
    <row r="8" spans="1:14" x14ac:dyDescent="0.25">
      <c r="G8" s="4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G9" s="4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4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4">
        <f t="shared" si="0"/>
        <v>0</v>
      </c>
    </row>
    <row r="12" spans="1:14" x14ac:dyDescent="0.25">
      <c r="G12" s="4">
        <f t="shared" si="0"/>
        <v>0</v>
      </c>
      <c r="M12" s="2" t="s">
        <v>15</v>
      </c>
    </row>
    <row r="13" spans="1:14" x14ac:dyDescent="0.25">
      <c r="G13" s="4">
        <f t="shared" si="0"/>
        <v>0</v>
      </c>
      <c r="M13" s="9">
        <f>SUM(D2:D150)</f>
        <v>0</v>
      </c>
    </row>
    <row r="14" spans="1:14" x14ac:dyDescent="0.25">
      <c r="G14" s="4">
        <f t="shared" si="0"/>
        <v>0</v>
      </c>
      <c r="M14" s="5"/>
    </row>
    <row r="15" spans="1:14" x14ac:dyDescent="0.25">
      <c r="G15" s="4">
        <f t="shared" si="0"/>
        <v>0</v>
      </c>
    </row>
    <row r="16" spans="1:14" x14ac:dyDescent="0.25">
      <c r="G16" s="4">
        <f t="shared" si="0"/>
        <v>0</v>
      </c>
    </row>
    <row r="17" spans="7:7" x14ac:dyDescent="0.25">
      <c r="G17" s="4">
        <f t="shared" si="0"/>
        <v>0</v>
      </c>
    </row>
    <row r="18" spans="7:7" x14ac:dyDescent="0.25">
      <c r="G18" s="4">
        <f t="shared" si="0"/>
        <v>0</v>
      </c>
    </row>
    <row r="19" spans="7:7" x14ac:dyDescent="0.25">
      <c r="G19" s="4">
        <f t="shared" si="0"/>
        <v>0</v>
      </c>
    </row>
    <row r="20" spans="7:7" x14ac:dyDescent="0.25">
      <c r="G20" s="4">
        <f t="shared" si="0"/>
        <v>0</v>
      </c>
    </row>
    <row r="21" spans="7:7" x14ac:dyDescent="0.25">
      <c r="G21" s="4">
        <f t="shared" si="0"/>
        <v>0</v>
      </c>
    </row>
    <row r="22" spans="7:7" x14ac:dyDescent="0.25">
      <c r="G22" s="4">
        <f t="shared" si="0"/>
        <v>0</v>
      </c>
    </row>
    <row r="23" spans="7:7" x14ac:dyDescent="0.25">
      <c r="G23" s="4">
        <f t="shared" si="0"/>
        <v>0</v>
      </c>
    </row>
    <row r="24" spans="7:7" x14ac:dyDescent="0.25">
      <c r="G24" s="4">
        <f t="shared" si="0"/>
        <v>0</v>
      </c>
    </row>
    <row r="25" spans="7:7" x14ac:dyDescent="0.25">
      <c r="G25" s="4">
        <f t="shared" si="0"/>
        <v>0</v>
      </c>
    </row>
    <row r="26" spans="7:7" x14ac:dyDescent="0.25">
      <c r="G26" s="4">
        <f t="shared" si="0"/>
        <v>0</v>
      </c>
    </row>
    <row r="27" spans="7:7" x14ac:dyDescent="0.25">
      <c r="G27" s="4">
        <f t="shared" si="0"/>
        <v>0</v>
      </c>
    </row>
    <row r="28" spans="7:7" x14ac:dyDescent="0.25">
      <c r="G28" s="4">
        <f t="shared" si="0"/>
        <v>0</v>
      </c>
    </row>
    <row r="29" spans="7:7" x14ac:dyDescent="0.25">
      <c r="G29" s="4">
        <f t="shared" si="0"/>
        <v>0</v>
      </c>
    </row>
    <row r="30" spans="7:7" x14ac:dyDescent="0.25">
      <c r="G30" s="4">
        <f t="shared" si="0"/>
        <v>0</v>
      </c>
    </row>
    <row r="31" spans="7:7" x14ac:dyDescent="0.25">
      <c r="G31" s="4">
        <f t="shared" si="0"/>
        <v>0</v>
      </c>
    </row>
    <row r="32" spans="7:7" x14ac:dyDescent="0.25">
      <c r="G32" s="4">
        <f t="shared" si="0"/>
        <v>0</v>
      </c>
    </row>
    <row r="33" spans="3:7" x14ac:dyDescent="0.25">
      <c r="G33" s="4">
        <f t="shared" si="0"/>
        <v>0</v>
      </c>
    </row>
    <row r="34" spans="3:7" x14ac:dyDescent="0.25">
      <c r="G34" s="4">
        <f t="shared" si="0"/>
        <v>0</v>
      </c>
    </row>
    <row r="35" spans="3:7" x14ac:dyDescent="0.25">
      <c r="G35" s="4">
        <f t="shared" si="0"/>
        <v>0</v>
      </c>
    </row>
    <row r="36" spans="3:7" x14ac:dyDescent="0.25">
      <c r="G36" s="4">
        <f t="shared" si="0"/>
        <v>0</v>
      </c>
    </row>
    <row r="37" spans="3:7" x14ac:dyDescent="0.25">
      <c r="G37" s="4">
        <f t="shared" si="0"/>
        <v>0</v>
      </c>
    </row>
    <row r="38" spans="3:7" x14ac:dyDescent="0.25">
      <c r="G38" s="4">
        <f t="shared" si="0"/>
        <v>0</v>
      </c>
    </row>
    <row r="39" spans="3:7" x14ac:dyDescent="0.25">
      <c r="C39" s="4"/>
      <c r="G39" s="4">
        <f t="shared" si="0"/>
        <v>0</v>
      </c>
    </row>
    <row r="40" spans="3:7" x14ac:dyDescent="0.25">
      <c r="G40" s="4">
        <f t="shared" si="0"/>
        <v>0</v>
      </c>
    </row>
    <row r="41" spans="3:7" x14ac:dyDescent="0.25">
      <c r="G41" s="4">
        <f t="shared" si="0"/>
        <v>0</v>
      </c>
    </row>
    <row r="42" spans="3:7" x14ac:dyDescent="0.25">
      <c r="G42" s="4">
        <f t="shared" si="0"/>
        <v>0</v>
      </c>
    </row>
    <row r="43" spans="3:7" x14ac:dyDescent="0.25">
      <c r="G43" s="4">
        <f t="shared" si="0"/>
        <v>0</v>
      </c>
    </row>
    <row r="44" spans="3:7" x14ac:dyDescent="0.25">
      <c r="G44" s="4">
        <f t="shared" si="0"/>
        <v>0</v>
      </c>
    </row>
    <row r="45" spans="3:7" x14ac:dyDescent="0.25">
      <c r="G45" s="4">
        <f t="shared" si="0"/>
        <v>0</v>
      </c>
    </row>
    <row r="46" spans="3:7" x14ac:dyDescent="0.25">
      <c r="G46" s="4">
        <f t="shared" si="0"/>
        <v>0</v>
      </c>
    </row>
    <row r="47" spans="3:7" x14ac:dyDescent="0.25">
      <c r="G47" s="4">
        <f t="shared" si="0"/>
        <v>0</v>
      </c>
    </row>
    <row r="48" spans="3:7" x14ac:dyDescent="0.25">
      <c r="G48" s="4">
        <f t="shared" si="0"/>
        <v>0</v>
      </c>
    </row>
    <row r="49" spans="4:7" x14ac:dyDescent="0.25">
      <c r="G49" s="4">
        <f t="shared" si="0"/>
        <v>0</v>
      </c>
    </row>
    <row r="50" spans="4:7" x14ac:dyDescent="0.25">
      <c r="G50" s="4">
        <f t="shared" si="0"/>
        <v>0</v>
      </c>
    </row>
    <row r="51" spans="4:7" x14ac:dyDescent="0.25">
      <c r="G51" s="4">
        <f t="shared" si="0"/>
        <v>0</v>
      </c>
    </row>
    <row r="52" spans="4:7" x14ac:dyDescent="0.25">
      <c r="G52" s="4">
        <f t="shared" si="0"/>
        <v>0</v>
      </c>
    </row>
    <row r="53" spans="4:7" x14ac:dyDescent="0.25">
      <c r="G53" s="4">
        <f t="shared" si="0"/>
        <v>0</v>
      </c>
    </row>
    <row r="54" spans="4:7" x14ac:dyDescent="0.25">
      <c r="G54" s="4">
        <f t="shared" si="0"/>
        <v>0</v>
      </c>
    </row>
    <row r="55" spans="4:7" x14ac:dyDescent="0.25">
      <c r="G55" s="4">
        <f t="shared" si="0"/>
        <v>0</v>
      </c>
    </row>
    <row r="56" spans="4:7" x14ac:dyDescent="0.25">
      <c r="G56" s="4">
        <f t="shared" si="0"/>
        <v>0</v>
      </c>
    </row>
    <row r="57" spans="4:7" x14ac:dyDescent="0.25">
      <c r="G57" s="4">
        <f t="shared" si="0"/>
        <v>0</v>
      </c>
    </row>
    <row r="58" spans="4:7" x14ac:dyDescent="0.25">
      <c r="G58" s="4">
        <f t="shared" si="0"/>
        <v>0</v>
      </c>
    </row>
    <row r="59" spans="4:7" x14ac:dyDescent="0.25">
      <c r="G59" s="4">
        <f t="shared" si="0"/>
        <v>0</v>
      </c>
    </row>
    <row r="60" spans="4:7" x14ac:dyDescent="0.25">
      <c r="D60" s="4"/>
      <c r="G60" s="4">
        <f t="shared" si="0"/>
        <v>0</v>
      </c>
    </row>
    <row r="61" spans="4:7" x14ac:dyDescent="0.25">
      <c r="D61" s="4"/>
      <c r="G61" s="4">
        <f t="shared" si="0"/>
        <v>0</v>
      </c>
    </row>
    <row r="62" spans="4:7" x14ac:dyDescent="0.25">
      <c r="D62" s="4"/>
      <c r="G62" s="4">
        <f t="shared" si="0"/>
        <v>0</v>
      </c>
    </row>
    <row r="63" spans="4:7" x14ac:dyDescent="0.25">
      <c r="D63" s="4"/>
      <c r="G63" s="4">
        <f t="shared" si="0"/>
        <v>0</v>
      </c>
    </row>
    <row r="64" spans="4:7" x14ac:dyDescent="0.25">
      <c r="D64" s="4"/>
      <c r="G64" s="4">
        <f t="shared" si="0"/>
        <v>0</v>
      </c>
    </row>
    <row r="65" spans="4:7" x14ac:dyDescent="0.25">
      <c r="D65" s="4"/>
      <c r="G65" s="4">
        <f t="shared" si="0"/>
        <v>0</v>
      </c>
    </row>
    <row r="66" spans="4:7" x14ac:dyDescent="0.25">
      <c r="D66" s="4"/>
      <c r="G66" s="4">
        <f t="shared" si="0"/>
        <v>0</v>
      </c>
    </row>
    <row r="67" spans="4:7" x14ac:dyDescent="0.25">
      <c r="D67" s="4"/>
      <c r="G67" s="4">
        <f t="shared" ref="G67:G130" si="1">SUMIF($C$2:$C$150,F67,$D$2:$D$150)</f>
        <v>0</v>
      </c>
    </row>
    <row r="68" spans="4:7" x14ac:dyDescent="0.25">
      <c r="D68" s="4"/>
      <c r="G68" s="4">
        <f t="shared" si="1"/>
        <v>0</v>
      </c>
    </row>
    <row r="69" spans="4:7" x14ac:dyDescent="0.25">
      <c r="D69" s="4"/>
      <c r="G69" s="4">
        <f t="shared" si="1"/>
        <v>0</v>
      </c>
    </row>
    <row r="70" spans="4:7" x14ac:dyDescent="0.25">
      <c r="D70" s="4"/>
      <c r="G70" s="4">
        <f t="shared" si="1"/>
        <v>0</v>
      </c>
    </row>
    <row r="71" spans="4:7" x14ac:dyDescent="0.25">
      <c r="D71" s="4"/>
      <c r="G71" s="4">
        <f t="shared" si="1"/>
        <v>0</v>
      </c>
    </row>
    <row r="72" spans="4:7" x14ac:dyDescent="0.25">
      <c r="D72" s="4"/>
      <c r="G72" s="4">
        <f t="shared" si="1"/>
        <v>0</v>
      </c>
    </row>
    <row r="73" spans="4:7" x14ac:dyDescent="0.25">
      <c r="D73" s="4"/>
      <c r="G73" s="4">
        <f t="shared" si="1"/>
        <v>0</v>
      </c>
    </row>
    <row r="74" spans="4:7" x14ac:dyDescent="0.25">
      <c r="D74" s="4"/>
      <c r="G74" s="4">
        <f t="shared" si="1"/>
        <v>0</v>
      </c>
    </row>
    <row r="75" spans="4:7" x14ac:dyDescent="0.25">
      <c r="D75" s="4"/>
      <c r="G75" s="4">
        <f t="shared" si="1"/>
        <v>0</v>
      </c>
    </row>
    <row r="76" spans="4:7" x14ac:dyDescent="0.25">
      <c r="D76" s="4"/>
      <c r="G76" s="4">
        <f t="shared" si="1"/>
        <v>0</v>
      </c>
    </row>
    <row r="77" spans="4:7" x14ac:dyDescent="0.25">
      <c r="D77" s="4"/>
      <c r="G77" s="4">
        <f t="shared" si="1"/>
        <v>0</v>
      </c>
    </row>
    <row r="78" spans="4:7" x14ac:dyDescent="0.25">
      <c r="D78" s="4"/>
      <c r="G78" s="4">
        <f t="shared" si="1"/>
        <v>0</v>
      </c>
    </row>
    <row r="79" spans="4:7" x14ac:dyDescent="0.25">
      <c r="D79" s="4"/>
      <c r="G79" s="4">
        <f t="shared" si="1"/>
        <v>0</v>
      </c>
    </row>
    <row r="80" spans="4:7" x14ac:dyDescent="0.25">
      <c r="D80" s="4"/>
      <c r="G80" s="4">
        <f t="shared" si="1"/>
        <v>0</v>
      </c>
    </row>
    <row r="81" spans="4:7" x14ac:dyDescent="0.25">
      <c r="D81" s="4"/>
      <c r="G81" s="4">
        <f t="shared" si="1"/>
        <v>0</v>
      </c>
    </row>
    <row r="82" spans="4:7" x14ac:dyDescent="0.25">
      <c r="D82" s="4"/>
      <c r="G82" s="4">
        <f t="shared" si="1"/>
        <v>0</v>
      </c>
    </row>
    <row r="83" spans="4:7" x14ac:dyDescent="0.25">
      <c r="D83" s="4"/>
      <c r="G83" s="4">
        <f t="shared" si="1"/>
        <v>0</v>
      </c>
    </row>
    <row r="84" spans="4:7" x14ac:dyDescent="0.25">
      <c r="D84" s="4"/>
      <c r="G84" s="4">
        <f t="shared" si="1"/>
        <v>0</v>
      </c>
    </row>
    <row r="85" spans="4:7" x14ac:dyDescent="0.25">
      <c r="D85" s="4"/>
      <c r="G85" s="4">
        <f t="shared" si="1"/>
        <v>0</v>
      </c>
    </row>
    <row r="86" spans="4:7" x14ac:dyDescent="0.25">
      <c r="D86" s="4"/>
      <c r="G86" s="4">
        <f t="shared" si="1"/>
        <v>0</v>
      </c>
    </row>
    <row r="87" spans="4:7" x14ac:dyDescent="0.25">
      <c r="D87" s="4"/>
      <c r="G87" s="4">
        <f t="shared" si="1"/>
        <v>0</v>
      </c>
    </row>
    <row r="88" spans="4:7" x14ac:dyDescent="0.25">
      <c r="D88" s="4"/>
      <c r="G88" s="4">
        <f t="shared" si="1"/>
        <v>0</v>
      </c>
    </row>
    <row r="89" spans="4:7" x14ac:dyDescent="0.25">
      <c r="D89" s="4"/>
      <c r="G89" s="4">
        <f t="shared" si="1"/>
        <v>0</v>
      </c>
    </row>
    <row r="90" spans="4:7" x14ac:dyDescent="0.25">
      <c r="D90" s="4"/>
      <c r="G90" s="4">
        <f t="shared" si="1"/>
        <v>0</v>
      </c>
    </row>
    <row r="91" spans="4:7" x14ac:dyDescent="0.25">
      <c r="D91" s="4"/>
      <c r="G91" s="4">
        <f t="shared" si="1"/>
        <v>0</v>
      </c>
    </row>
    <row r="92" spans="4:7" x14ac:dyDescent="0.25">
      <c r="D92" s="4"/>
      <c r="G92" s="4">
        <f t="shared" si="1"/>
        <v>0</v>
      </c>
    </row>
    <row r="93" spans="4:7" x14ac:dyDescent="0.25">
      <c r="D93" s="4"/>
      <c r="G93" s="4">
        <f t="shared" si="1"/>
        <v>0</v>
      </c>
    </row>
    <row r="94" spans="4:7" x14ac:dyDescent="0.25">
      <c r="D94" s="4"/>
      <c r="G94" s="4">
        <f t="shared" si="1"/>
        <v>0</v>
      </c>
    </row>
    <row r="95" spans="4:7" x14ac:dyDescent="0.25">
      <c r="D95" s="4"/>
      <c r="G95" s="4">
        <f t="shared" si="1"/>
        <v>0</v>
      </c>
    </row>
    <row r="96" spans="4:7" x14ac:dyDescent="0.25">
      <c r="D96" s="4"/>
      <c r="G96" s="4">
        <f t="shared" si="1"/>
        <v>0</v>
      </c>
    </row>
    <row r="97" spans="4:7" x14ac:dyDescent="0.25">
      <c r="D97" s="4"/>
      <c r="G97" s="4">
        <f t="shared" si="1"/>
        <v>0</v>
      </c>
    </row>
    <row r="98" spans="4:7" x14ac:dyDescent="0.25">
      <c r="D98" s="4"/>
      <c r="E98" s="5"/>
      <c r="G98" s="4">
        <f t="shared" si="1"/>
        <v>0</v>
      </c>
    </row>
    <row r="99" spans="4:7" x14ac:dyDescent="0.25">
      <c r="D99" s="4"/>
      <c r="G99" s="4">
        <f t="shared" si="1"/>
        <v>0</v>
      </c>
    </row>
    <row r="100" spans="4:7" x14ac:dyDescent="0.25">
      <c r="D100" s="4"/>
      <c r="G100" s="4">
        <f t="shared" si="1"/>
        <v>0</v>
      </c>
    </row>
    <row r="101" spans="4:7" x14ac:dyDescent="0.25">
      <c r="D101" s="4"/>
      <c r="G101" s="4">
        <f t="shared" si="1"/>
        <v>0</v>
      </c>
    </row>
    <row r="102" spans="4:7" x14ac:dyDescent="0.25">
      <c r="D102" s="4"/>
      <c r="G102" s="4">
        <f t="shared" si="1"/>
        <v>0</v>
      </c>
    </row>
    <row r="103" spans="4:7" x14ac:dyDescent="0.25">
      <c r="D103" s="4"/>
      <c r="G103" s="4">
        <f t="shared" si="1"/>
        <v>0</v>
      </c>
    </row>
    <row r="104" spans="4:7" x14ac:dyDescent="0.25">
      <c r="D104" s="4"/>
      <c r="G104" s="4">
        <f t="shared" si="1"/>
        <v>0</v>
      </c>
    </row>
    <row r="105" spans="4:7" x14ac:dyDescent="0.25">
      <c r="D105" s="4"/>
      <c r="G105" s="4">
        <f t="shared" si="1"/>
        <v>0</v>
      </c>
    </row>
    <row r="106" spans="4:7" x14ac:dyDescent="0.25">
      <c r="D106" s="4"/>
      <c r="G106" s="4">
        <f t="shared" si="1"/>
        <v>0</v>
      </c>
    </row>
    <row r="107" spans="4:7" x14ac:dyDescent="0.25">
      <c r="D107" s="4"/>
      <c r="G107" s="4">
        <f t="shared" si="1"/>
        <v>0</v>
      </c>
    </row>
    <row r="108" spans="4:7" x14ac:dyDescent="0.25">
      <c r="D108" s="4"/>
      <c r="G108" s="4">
        <f t="shared" si="1"/>
        <v>0</v>
      </c>
    </row>
    <row r="109" spans="4:7" x14ac:dyDescent="0.25">
      <c r="D109" s="4"/>
      <c r="G109" s="4">
        <f t="shared" si="1"/>
        <v>0</v>
      </c>
    </row>
    <row r="110" spans="4:7" x14ac:dyDescent="0.25">
      <c r="D110" s="4"/>
      <c r="G110" s="4">
        <f t="shared" si="1"/>
        <v>0</v>
      </c>
    </row>
    <row r="111" spans="4:7" x14ac:dyDescent="0.25">
      <c r="D111" s="4"/>
      <c r="G111" s="4">
        <f t="shared" si="1"/>
        <v>0</v>
      </c>
    </row>
    <row r="112" spans="4:7" x14ac:dyDescent="0.25">
      <c r="D112" s="4"/>
      <c r="G112" s="4">
        <f t="shared" si="1"/>
        <v>0</v>
      </c>
    </row>
    <row r="113" spans="4:7" x14ac:dyDescent="0.25">
      <c r="D113" s="4"/>
      <c r="G113" s="4">
        <f t="shared" si="1"/>
        <v>0</v>
      </c>
    </row>
    <row r="114" spans="4:7" x14ac:dyDescent="0.25">
      <c r="D114" s="4"/>
      <c r="G114" s="4">
        <f t="shared" si="1"/>
        <v>0</v>
      </c>
    </row>
    <row r="115" spans="4:7" x14ac:dyDescent="0.25">
      <c r="D115" s="3"/>
      <c r="G115" s="4">
        <f t="shared" si="1"/>
        <v>0</v>
      </c>
    </row>
    <row r="116" spans="4:7" x14ac:dyDescent="0.25">
      <c r="D116" s="3"/>
      <c r="G116" s="4">
        <f t="shared" si="1"/>
        <v>0</v>
      </c>
    </row>
    <row r="117" spans="4:7" x14ac:dyDescent="0.25">
      <c r="D117" s="3"/>
      <c r="G117" s="4">
        <f t="shared" si="1"/>
        <v>0</v>
      </c>
    </row>
    <row r="118" spans="4:7" x14ac:dyDescent="0.25">
      <c r="D118" s="3"/>
      <c r="G118" s="4">
        <f t="shared" si="1"/>
        <v>0</v>
      </c>
    </row>
    <row r="119" spans="4:7" x14ac:dyDescent="0.25">
      <c r="D119" s="3"/>
      <c r="G119" s="4">
        <f t="shared" si="1"/>
        <v>0</v>
      </c>
    </row>
    <row r="120" spans="4:7" x14ac:dyDescent="0.25">
      <c r="D120" s="3"/>
      <c r="G120" s="4">
        <f t="shared" si="1"/>
        <v>0</v>
      </c>
    </row>
    <row r="121" spans="4:7" x14ac:dyDescent="0.25">
      <c r="D121" s="3"/>
      <c r="G121" s="4">
        <f t="shared" si="1"/>
        <v>0</v>
      </c>
    </row>
    <row r="122" spans="4:7" x14ac:dyDescent="0.25">
      <c r="D122" s="3"/>
      <c r="G122" s="4">
        <f t="shared" si="1"/>
        <v>0</v>
      </c>
    </row>
    <row r="123" spans="4:7" x14ac:dyDescent="0.25">
      <c r="D123" s="3"/>
      <c r="G123" s="4">
        <f t="shared" si="1"/>
        <v>0</v>
      </c>
    </row>
    <row r="124" spans="4:7" x14ac:dyDescent="0.25">
      <c r="D124" s="3"/>
      <c r="G124" s="4">
        <f t="shared" si="1"/>
        <v>0</v>
      </c>
    </row>
    <row r="125" spans="4:7" x14ac:dyDescent="0.25">
      <c r="D125" s="3"/>
      <c r="G125" s="4">
        <f t="shared" si="1"/>
        <v>0</v>
      </c>
    </row>
    <row r="126" spans="4:7" x14ac:dyDescent="0.25">
      <c r="G126" s="4">
        <f t="shared" si="1"/>
        <v>0</v>
      </c>
    </row>
    <row r="127" spans="4:7" x14ac:dyDescent="0.25">
      <c r="G127" s="4">
        <f t="shared" si="1"/>
        <v>0</v>
      </c>
    </row>
    <row r="128" spans="4:7" x14ac:dyDescent="0.25">
      <c r="G128" s="4">
        <f t="shared" si="1"/>
        <v>0</v>
      </c>
    </row>
    <row r="129" spans="7:7" x14ac:dyDescent="0.25">
      <c r="G129" s="4">
        <f t="shared" si="1"/>
        <v>0</v>
      </c>
    </row>
    <row r="130" spans="7:7" x14ac:dyDescent="0.25">
      <c r="G130" s="4">
        <f t="shared" si="1"/>
        <v>0</v>
      </c>
    </row>
    <row r="131" spans="7:7" x14ac:dyDescent="0.25">
      <c r="G131" s="4">
        <f t="shared" ref="G131:G150" si="2">SUMIF($C$2:$C$150,F131,$D$2:$D$150)</f>
        <v>0</v>
      </c>
    </row>
    <row r="132" spans="7:7" x14ac:dyDescent="0.25">
      <c r="G132" s="4">
        <f t="shared" si="2"/>
        <v>0</v>
      </c>
    </row>
    <row r="133" spans="7:7" x14ac:dyDescent="0.25">
      <c r="G133" s="4">
        <f t="shared" si="2"/>
        <v>0</v>
      </c>
    </row>
    <row r="134" spans="7:7" x14ac:dyDescent="0.25">
      <c r="G134" s="4">
        <f t="shared" si="2"/>
        <v>0</v>
      </c>
    </row>
    <row r="135" spans="7:7" x14ac:dyDescent="0.25">
      <c r="G135" s="4">
        <f t="shared" si="2"/>
        <v>0</v>
      </c>
    </row>
    <row r="136" spans="7:7" x14ac:dyDescent="0.25">
      <c r="G136" s="4">
        <f t="shared" si="2"/>
        <v>0</v>
      </c>
    </row>
    <row r="137" spans="7:7" x14ac:dyDescent="0.25">
      <c r="G137" s="4">
        <f t="shared" si="2"/>
        <v>0</v>
      </c>
    </row>
    <row r="138" spans="7:7" x14ac:dyDescent="0.25">
      <c r="G138" s="4">
        <f t="shared" si="2"/>
        <v>0</v>
      </c>
    </row>
    <row r="139" spans="7:7" x14ac:dyDescent="0.25">
      <c r="G139" s="4">
        <f t="shared" si="2"/>
        <v>0</v>
      </c>
    </row>
    <row r="140" spans="7:7" x14ac:dyDescent="0.25">
      <c r="G140" s="4">
        <f t="shared" si="2"/>
        <v>0</v>
      </c>
    </row>
    <row r="141" spans="7:7" x14ac:dyDescent="0.25">
      <c r="G141" s="4">
        <f t="shared" si="2"/>
        <v>0</v>
      </c>
    </row>
    <row r="142" spans="7:7" x14ac:dyDescent="0.25">
      <c r="G142" s="4">
        <f t="shared" si="2"/>
        <v>0</v>
      </c>
    </row>
    <row r="143" spans="7:7" x14ac:dyDescent="0.25">
      <c r="G143" s="4">
        <f t="shared" si="2"/>
        <v>0</v>
      </c>
    </row>
    <row r="144" spans="7:7" x14ac:dyDescent="0.25">
      <c r="G144" s="4">
        <f t="shared" si="2"/>
        <v>0</v>
      </c>
    </row>
    <row r="145" spans="7:7" x14ac:dyDescent="0.25">
      <c r="G145" s="4">
        <f t="shared" si="2"/>
        <v>0</v>
      </c>
    </row>
    <row r="146" spans="7:7" x14ac:dyDescent="0.25">
      <c r="G146" s="4">
        <f t="shared" si="2"/>
        <v>0</v>
      </c>
    </row>
    <row r="147" spans="7:7" x14ac:dyDescent="0.25">
      <c r="G147" s="4">
        <f t="shared" si="2"/>
        <v>0</v>
      </c>
    </row>
    <row r="148" spans="7:7" x14ac:dyDescent="0.25">
      <c r="G148" s="4">
        <f t="shared" si="2"/>
        <v>0</v>
      </c>
    </row>
    <row r="149" spans="7:7" x14ac:dyDescent="0.25">
      <c r="G149" s="4">
        <f t="shared" si="2"/>
        <v>0</v>
      </c>
    </row>
    <row r="150" spans="7:7" x14ac:dyDescent="0.25">
      <c r="G150" s="4">
        <f t="shared" si="2"/>
        <v>0</v>
      </c>
    </row>
    <row r="151" spans="7:7" x14ac:dyDescent="0.25">
      <c r="G151" s="4"/>
    </row>
  </sheetData>
  <sortState xmlns:xlrd2="http://schemas.microsoft.com/office/spreadsheetml/2017/richdata2" ref="B2:D125">
    <sortCondition ref="B2:B125"/>
    <sortCondition ref="C2:C125"/>
  </sortState>
  <phoneticPr fontId="2" type="noConversion"/>
  <conditionalFormatting sqref="F2:G15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635F-BC8C-43E5-BC3F-5A886E2D6E1A}">
  <dimension ref="A1:N151"/>
  <sheetViews>
    <sheetView workbookViewId="0">
      <selection activeCell="F2" sqref="F2:G151"/>
    </sheetView>
  </sheetViews>
  <sheetFormatPr defaultRowHeight="15" x14ac:dyDescent="0.25"/>
  <cols>
    <col min="2" max="2" width="14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46143</v>
      </c>
      <c r="D2" s="4"/>
      <c r="F2" cm="1">
        <f t="array" ref="F2">_xlfn._xlws.SORT(_xlfn.UNIQUE(C2:C150))</f>
        <v>0</v>
      </c>
      <c r="G2" s="4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4">
        <f t="shared" ref="G3:G66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4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F5" s="6"/>
      <c r="G5" s="4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C6" s="4"/>
      <c r="D6" s="4"/>
      <c r="G6" s="4">
        <f t="shared" si="0"/>
        <v>0</v>
      </c>
    </row>
    <row r="7" spans="1:14" x14ac:dyDescent="0.25">
      <c r="D7" s="4"/>
      <c r="G7" s="4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4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4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4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4">
        <f t="shared" si="0"/>
        <v>0</v>
      </c>
    </row>
    <row r="12" spans="1:14" x14ac:dyDescent="0.25">
      <c r="G12" s="4">
        <f t="shared" si="0"/>
        <v>0</v>
      </c>
      <c r="M12" s="2" t="s">
        <v>15</v>
      </c>
    </row>
    <row r="13" spans="1:14" x14ac:dyDescent="0.25">
      <c r="G13" s="4">
        <f t="shared" si="0"/>
        <v>0</v>
      </c>
      <c r="M13" s="9">
        <f>SUM(D2:D150)</f>
        <v>0</v>
      </c>
    </row>
    <row r="14" spans="1:14" x14ac:dyDescent="0.25">
      <c r="G14" s="4">
        <f t="shared" si="0"/>
        <v>0</v>
      </c>
      <c r="M14" s="5"/>
    </row>
    <row r="15" spans="1:14" x14ac:dyDescent="0.25">
      <c r="G15" s="4">
        <f t="shared" si="0"/>
        <v>0</v>
      </c>
    </row>
    <row r="16" spans="1:14" x14ac:dyDescent="0.25">
      <c r="G16" s="4">
        <f t="shared" si="0"/>
        <v>0</v>
      </c>
    </row>
    <row r="17" spans="7:7" x14ac:dyDescent="0.25">
      <c r="G17" s="4">
        <f t="shared" si="0"/>
        <v>0</v>
      </c>
    </row>
    <row r="18" spans="7:7" x14ac:dyDescent="0.25">
      <c r="G18" s="4">
        <f t="shared" si="0"/>
        <v>0</v>
      </c>
    </row>
    <row r="19" spans="7:7" x14ac:dyDescent="0.25">
      <c r="G19" s="4">
        <f t="shared" si="0"/>
        <v>0</v>
      </c>
    </row>
    <row r="20" spans="7:7" x14ac:dyDescent="0.25">
      <c r="G20" s="4">
        <f t="shared" si="0"/>
        <v>0</v>
      </c>
    </row>
    <row r="21" spans="7:7" x14ac:dyDescent="0.25">
      <c r="G21" s="4">
        <f t="shared" si="0"/>
        <v>0</v>
      </c>
    </row>
    <row r="22" spans="7:7" x14ac:dyDescent="0.25">
      <c r="G22" s="4">
        <f t="shared" si="0"/>
        <v>0</v>
      </c>
    </row>
    <row r="23" spans="7:7" x14ac:dyDescent="0.25">
      <c r="G23" s="4">
        <f t="shared" si="0"/>
        <v>0</v>
      </c>
    </row>
    <row r="24" spans="7:7" x14ac:dyDescent="0.25">
      <c r="G24" s="4">
        <f t="shared" si="0"/>
        <v>0</v>
      </c>
    </row>
    <row r="25" spans="7:7" x14ac:dyDescent="0.25">
      <c r="G25" s="4">
        <f t="shared" si="0"/>
        <v>0</v>
      </c>
    </row>
    <row r="26" spans="7:7" x14ac:dyDescent="0.25">
      <c r="G26" s="4">
        <f t="shared" si="0"/>
        <v>0</v>
      </c>
    </row>
    <row r="27" spans="7:7" x14ac:dyDescent="0.25">
      <c r="G27" s="4">
        <f t="shared" si="0"/>
        <v>0</v>
      </c>
    </row>
    <row r="28" spans="7:7" x14ac:dyDescent="0.25">
      <c r="G28" s="4">
        <f t="shared" si="0"/>
        <v>0</v>
      </c>
    </row>
    <row r="29" spans="7:7" x14ac:dyDescent="0.25">
      <c r="G29" s="4">
        <f t="shared" si="0"/>
        <v>0</v>
      </c>
    </row>
    <row r="30" spans="7:7" x14ac:dyDescent="0.25">
      <c r="G30" s="4">
        <f t="shared" si="0"/>
        <v>0</v>
      </c>
    </row>
    <row r="31" spans="7:7" x14ac:dyDescent="0.25">
      <c r="G31" s="4">
        <f t="shared" si="0"/>
        <v>0</v>
      </c>
    </row>
    <row r="32" spans="7:7" x14ac:dyDescent="0.25">
      <c r="G32" s="4">
        <f t="shared" si="0"/>
        <v>0</v>
      </c>
    </row>
    <row r="33" spans="7:7" x14ac:dyDescent="0.25">
      <c r="G33" s="4">
        <f t="shared" si="0"/>
        <v>0</v>
      </c>
    </row>
    <row r="34" spans="7:7" x14ac:dyDescent="0.25">
      <c r="G34" s="4">
        <f t="shared" si="0"/>
        <v>0</v>
      </c>
    </row>
    <row r="35" spans="7:7" x14ac:dyDescent="0.25">
      <c r="G35" s="4">
        <f t="shared" si="0"/>
        <v>0</v>
      </c>
    </row>
    <row r="36" spans="7:7" x14ac:dyDescent="0.25">
      <c r="G36" s="4">
        <f t="shared" si="0"/>
        <v>0</v>
      </c>
    </row>
    <row r="37" spans="7:7" x14ac:dyDescent="0.25">
      <c r="G37" s="4">
        <f t="shared" si="0"/>
        <v>0</v>
      </c>
    </row>
    <row r="38" spans="7:7" x14ac:dyDescent="0.25">
      <c r="G38" s="4">
        <f t="shared" si="0"/>
        <v>0</v>
      </c>
    </row>
    <row r="39" spans="7:7" x14ac:dyDescent="0.25">
      <c r="G39" s="4">
        <f t="shared" si="0"/>
        <v>0</v>
      </c>
    </row>
    <row r="40" spans="7:7" x14ac:dyDescent="0.25">
      <c r="G40" s="4">
        <f t="shared" si="0"/>
        <v>0</v>
      </c>
    </row>
    <row r="41" spans="7:7" x14ac:dyDescent="0.25">
      <c r="G41" s="4">
        <f t="shared" si="0"/>
        <v>0</v>
      </c>
    </row>
    <row r="42" spans="7:7" x14ac:dyDescent="0.25">
      <c r="G42" s="4">
        <f t="shared" si="0"/>
        <v>0</v>
      </c>
    </row>
    <row r="43" spans="7:7" x14ac:dyDescent="0.25">
      <c r="G43" s="4">
        <f t="shared" si="0"/>
        <v>0</v>
      </c>
    </row>
    <row r="44" spans="7:7" x14ac:dyDescent="0.25">
      <c r="G44" s="4">
        <f t="shared" si="0"/>
        <v>0</v>
      </c>
    </row>
    <row r="45" spans="7:7" x14ac:dyDescent="0.25">
      <c r="G45" s="4">
        <f t="shared" si="0"/>
        <v>0</v>
      </c>
    </row>
    <row r="46" spans="7:7" x14ac:dyDescent="0.25">
      <c r="G46" s="4">
        <f t="shared" si="0"/>
        <v>0</v>
      </c>
    </row>
    <row r="47" spans="7:7" x14ac:dyDescent="0.25">
      <c r="G47" s="4">
        <f t="shared" si="0"/>
        <v>0</v>
      </c>
    </row>
    <row r="48" spans="7:7" x14ac:dyDescent="0.25">
      <c r="G48" s="4">
        <f t="shared" si="0"/>
        <v>0</v>
      </c>
    </row>
    <row r="49" spans="4:7" x14ac:dyDescent="0.25">
      <c r="G49" s="4">
        <f t="shared" si="0"/>
        <v>0</v>
      </c>
    </row>
    <row r="50" spans="4:7" x14ac:dyDescent="0.25">
      <c r="G50" s="4">
        <f t="shared" si="0"/>
        <v>0</v>
      </c>
    </row>
    <row r="51" spans="4:7" x14ac:dyDescent="0.25">
      <c r="G51" s="4">
        <f t="shared" si="0"/>
        <v>0</v>
      </c>
    </row>
    <row r="52" spans="4:7" x14ac:dyDescent="0.25">
      <c r="D52" s="4"/>
      <c r="G52" s="4">
        <f t="shared" si="0"/>
        <v>0</v>
      </c>
    </row>
    <row r="53" spans="4:7" x14ac:dyDescent="0.25">
      <c r="D53" s="4"/>
      <c r="G53" s="4">
        <f t="shared" si="0"/>
        <v>0</v>
      </c>
    </row>
    <row r="54" spans="4:7" x14ac:dyDescent="0.25">
      <c r="D54" s="4"/>
      <c r="G54" s="4">
        <f t="shared" si="0"/>
        <v>0</v>
      </c>
    </row>
    <row r="55" spans="4:7" x14ac:dyDescent="0.25">
      <c r="D55" s="4"/>
      <c r="G55" s="4">
        <f t="shared" si="0"/>
        <v>0</v>
      </c>
    </row>
    <row r="56" spans="4:7" x14ac:dyDescent="0.25">
      <c r="D56" s="4"/>
      <c r="G56" s="4">
        <f t="shared" si="0"/>
        <v>0</v>
      </c>
    </row>
    <row r="57" spans="4:7" x14ac:dyDescent="0.25">
      <c r="D57" s="4"/>
      <c r="G57" s="4">
        <f t="shared" si="0"/>
        <v>0</v>
      </c>
    </row>
    <row r="58" spans="4:7" x14ac:dyDescent="0.25">
      <c r="D58" s="4"/>
      <c r="G58" s="4">
        <f t="shared" si="0"/>
        <v>0</v>
      </c>
    </row>
    <row r="59" spans="4:7" x14ac:dyDescent="0.25">
      <c r="D59" s="4"/>
      <c r="G59" s="4">
        <f t="shared" si="0"/>
        <v>0</v>
      </c>
    </row>
    <row r="60" spans="4:7" x14ac:dyDescent="0.25">
      <c r="D60" s="4"/>
      <c r="G60" s="4">
        <f t="shared" si="0"/>
        <v>0</v>
      </c>
    </row>
    <row r="61" spans="4:7" x14ac:dyDescent="0.25">
      <c r="D61" s="4"/>
      <c r="G61" s="4">
        <f t="shared" si="0"/>
        <v>0</v>
      </c>
    </row>
    <row r="62" spans="4:7" x14ac:dyDescent="0.25">
      <c r="D62" s="4"/>
      <c r="G62" s="4">
        <f t="shared" si="0"/>
        <v>0</v>
      </c>
    </row>
    <row r="63" spans="4:7" x14ac:dyDescent="0.25">
      <c r="D63" s="4"/>
      <c r="G63" s="4">
        <f t="shared" si="0"/>
        <v>0</v>
      </c>
    </row>
    <row r="64" spans="4:7" x14ac:dyDescent="0.25">
      <c r="D64" s="4"/>
      <c r="G64" s="4">
        <f t="shared" si="0"/>
        <v>0</v>
      </c>
    </row>
    <row r="65" spans="4:7" x14ac:dyDescent="0.25">
      <c r="D65" s="4"/>
      <c r="G65" s="4">
        <f t="shared" si="0"/>
        <v>0</v>
      </c>
    </row>
    <row r="66" spans="4:7" x14ac:dyDescent="0.25">
      <c r="D66" s="4"/>
      <c r="G66" s="4">
        <f t="shared" si="0"/>
        <v>0</v>
      </c>
    </row>
    <row r="67" spans="4:7" x14ac:dyDescent="0.25">
      <c r="D67" s="4"/>
      <c r="G67" s="4">
        <f t="shared" ref="G67:G130" si="1">SUMIF($C$2:$C$150,F67,$D$2:$D$150)</f>
        <v>0</v>
      </c>
    </row>
    <row r="68" spans="4:7" x14ac:dyDescent="0.25">
      <c r="D68" s="4"/>
      <c r="G68" s="4">
        <f t="shared" si="1"/>
        <v>0</v>
      </c>
    </row>
    <row r="69" spans="4:7" x14ac:dyDescent="0.25">
      <c r="D69" s="4"/>
      <c r="G69" s="4">
        <f t="shared" si="1"/>
        <v>0</v>
      </c>
    </row>
    <row r="70" spans="4:7" x14ac:dyDescent="0.25">
      <c r="D70" s="4"/>
      <c r="G70" s="4">
        <f t="shared" si="1"/>
        <v>0</v>
      </c>
    </row>
    <row r="71" spans="4:7" x14ac:dyDescent="0.25">
      <c r="D71" s="4"/>
      <c r="G71" s="4">
        <f t="shared" si="1"/>
        <v>0</v>
      </c>
    </row>
    <row r="72" spans="4:7" x14ac:dyDescent="0.25">
      <c r="D72" s="4"/>
      <c r="G72" s="4">
        <f t="shared" si="1"/>
        <v>0</v>
      </c>
    </row>
    <row r="73" spans="4:7" x14ac:dyDescent="0.25">
      <c r="D73" s="4"/>
      <c r="G73" s="4">
        <f t="shared" si="1"/>
        <v>0</v>
      </c>
    </row>
    <row r="74" spans="4:7" x14ac:dyDescent="0.25">
      <c r="D74" s="4"/>
      <c r="G74" s="4">
        <f t="shared" si="1"/>
        <v>0</v>
      </c>
    </row>
    <row r="75" spans="4:7" x14ac:dyDescent="0.25">
      <c r="D75" s="4"/>
      <c r="G75" s="4">
        <f t="shared" si="1"/>
        <v>0</v>
      </c>
    </row>
    <row r="76" spans="4:7" x14ac:dyDescent="0.25">
      <c r="D76" s="4"/>
      <c r="G76" s="4">
        <f t="shared" si="1"/>
        <v>0</v>
      </c>
    </row>
    <row r="77" spans="4:7" x14ac:dyDescent="0.25">
      <c r="D77" s="4"/>
      <c r="G77" s="4">
        <f t="shared" si="1"/>
        <v>0</v>
      </c>
    </row>
    <row r="78" spans="4:7" x14ac:dyDescent="0.25">
      <c r="D78" s="4"/>
      <c r="G78" s="4">
        <f t="shared" si="1"/>
        <v>0</v>
      </c>
    </row>
    <row r="79" spans="4:7" x14ac:dyDescent="0.25">
      <c r="D79" s="4"/>
      <c r="G79" s="4">
        <f t="shared" si="1"/>
        <v>0</v>
      </c>
    </row>
    <row r="80" spans="4:7" x14ac:dyDescent="0.25">
      <c r="D80" s="4"/>
      <c r="G80" s="4">
        <f t="shared" si="1"/>
        <v>0</v>
      </c>
    </row>
    <row r="81" spans="4:7" x14ac:dyDescent="0.25">
      <c r="D81" s="4"/>
      <c r="G81" s="4">
        <f t="shared" si="1"/>
        <v>0</v>
      </c>
    </row>
    <row r="82" spans="4:7" x14ac:dyDescent="0.25">
      <c r="D82" s="4"/>
      <c r="G82" s="4">
        <f t="shared" si="1"/>
        <v>0</v>
      </c>
    </row>
    <row r="83" spans="4:7" x14ac:dyDescent="0.25">
      <c r="D83" s="4"/>
      <c r="G83" s="4">
        <f t="shared" si="1"/>
        <v>0</v>
      </c>
    </row>
    <row r="84" spans="4:7" x14ac:dyDescent="0.25">
      <c r="D84" s="4"/>
      <c r="G84" s="4">
        <f t="shared" si="1"/>
        <v>0</v>
      </c>
    </row>
    <row r="85" spans="4:7" x14ac:dyDescent="0.25">
      <c r="D85" s="4"/>
      <c r="G85" s="4">
        <f t="shared" si="1"/>
        <v>0</v>
      </c>
    </row>
    <row r="86" spans="4:7" x14ac:dyDescent="0.25">
      <c r="D86" s="4"/>
      <c r="G86" s="4">
        <f t="shared" si="1"/>
        <v>0</v>
      </c>
    </row>
    <row r="87" spans="4:7" x14ac:dyDescent="0.25">
      <c r="D87" s="4"/>
      <c r="G87" s="4">
        <f t="shared" si="1"/>
        <v>0</v>
      </c>
    </row>
    <row r="88" spans="4:7" x14ac:dyDescent="0.25">
      <c r="D88" s="4"/>
      <c r="G88" s="4">
        <f t="shared" si="1"/>
        <v>0</v>
      </c>
    </row>
    <row r="89" spans="4:7" x14ac:dyDescent="0.25">
      <c r="D89" s="4"/>
      <c r="G89" s="4">
        <f t="shared" si="1"/>
        <v>0</v>
      </c>
    </row>
    <row r="90" spans="4:7" x14ac:dyDescent="0.25">
      <c r="D90" s="4"/>
      <c r="G90" s="4">
        <f t="shared" si="1"/>
        <v>0</v>
      </c>
    </row>
    <row r="91" spans="4:7" x14ac:dyDescent="0.25">
      <c r="D91" s="4"/>
      <c r="G91" s="4">
        <f t="shared" si="1"/>
        <v>0</v>
      </c>
    </row>
    <row r="92" spans="4:7" x14ac:dyDescent="0.25">
      <c r="D92" s="4"/>
      <c r="G92" s="4">
        <f t="shared" si="1"/>
        <v>0</v>
      </c>
    </row>
    <row r="93" spans="4:7" x14ac:dyDescent="0.25">
      <c r="D93" s="4"/>
      <c r="G93" s="4">
        <f t="shared" si="1"/>
        <v>0</v>
      </c>
    </row>
    <row r="94" spans="4:7" x14ac:dyDescent="0.25">
      <c r="D94" s="4"/>
      <c r="G94" s="4">
        <f t="shared" si="1"/>
        <v>0</v>
      </c>
    </row>
    <row r="95" spans="4:7" x14ac:dyDescent="0.25">
      <c r="D95" s="4"/>
      <c r="G95" s="4">
        <f t="shared" si="1"/>
        <v>0</v>
      </c>
    </row>
    <row r="96" spans="4:7" x14ac:dyDescent="0.25">
      <c r="D96" s="4"/>
      <c r="G96" s="4">
        <f t="shared" si="1"/>
        <v>0</v>
      </c>
    </row>
    <row r="97" spans="4:7" x14ac:dyDescent="0.25">
      <c r="D97" s="4"/>
      <c r="G97" s="4">
        <f t="shared" si="1"/>
        <v>0</v>
      </c>
    </row>
    <row r="98" spans="4:7" x14ac:dyDescent="0.25">
      <c r="D98" s="4"/>
      <c r="G98" s="4">
        <f t="shared" si="1"/>
        <v>0</v>
      </c>
    </row>
    <row r="99" spans="4:7" x14ac:dyDescent="0.25">
      <c r="D99" s="4"/>
      <c r="G99" s="4">
        <f t="shared" si="1"/>
        <v>0</v>
      </c>
    </row>
    <row r="100" spans="4:7" x14ac:dyDescent="0.25">
      <c r="D100" s="4"/>
      <c r="G100" s="4">
        <f t="shared" si="1"/>
        <v>0</v>
      </c>
    </row>
    <row r="101" spans="4:7" x14ac:dyDescent="0.25">
      <c r="D101" s="4"/>
      <c r="G101" s="4">
        <f t="shared" si="1"/>
        <v>0</v>
      </c>
    </row>
    <row r="102" spans="4:7" x14ac:dyDescent="0.25">
      <c r="D102" s="4"/>
      <c r="G102" s="4">
        <f t="shared" si="1"/>
        <v>0</v>
      </c>
    </row>
    <row r="103" spans="4:7" x14ac:dyDescent="0.25">
      <c r="D103" s="4"/>
      <c r="G103" s="4">
        <f t="shared" si="1"/>
        <v>0</v>
      </c>
    </row>
    <row r="104" spans="4:7" x14ac:dyDescent="0.25">
      <c r="D104" s="4"/>
      <c r="G104" s="4">
        <f t="shared" si="1"/>
        <v>0</v>
      </c>
    </row>
    <row r="105" spans="4:7" x14ac:dyDescent="0.25">
      <c r="D105" s="4"/>
      <c r="G105" s="4">
        <f t="shared" si="1"/>
        <v>0</v>
      </c>
    </row>
    <row r="106" spans="4:7" x14ac:dyDescent="0.25">
      <c r="D106" s="4"/>
      <c r="G106" s="4">
        <f t="shared" si="1"/>
        <v>0</v>
      </c>
    </row>
    <row r="107" spans="4:7" x14ac:dyDescent="0.25">
      <c r="D107" s="4"/>
      <c r="G107" s="4">
        <f t="shared" si="1"/>
        <v>0</v>
      </c>
    </row>
    <row r="108" spans="4:7" x14ac:dyDescent="0.25">
      <c r="D108" s="4"/>
      <c r="G108" s="4">
        <f t="shared" si="1"/>
        <v>0</v>
      </c>
    </row>
    <row r="109" spans="4:7" x14ac:dyDescent="0.25">
      <c r="D109" s="4"/>
      <c r="G109" s="4">
        <f t="shared" si="1"/>
        <v>0</v>
      </c>
    </row>
    <row r="110" spans="4:7" x14ac:dyDescent="0.25">
      <c r="D110" s="4"/>
      <c r="G110" s="4">
        <f t="shared" si="1"/>
        <v>0</v>
      </c>
    </row>
    <row r="111" spans="4:7" x14ac:dyDescent="0.25">
      <c r="D111" s="4"/>
      <c r="G111" s="4">
        <f t="shared" si="1"/>
        <v>0</v>
      </c>
    </row>
    <row r="112" spans="4:7" x14ac:dyDescent="0.25">
      <c r="D112" s="4"/>
      <c r="G112" s="4">
        <f t="shared" si="1"/>
        <v>0</v>
      </c>
    </row>
    <row r="113" spans="4:7" x14ac:dyDescent="0.25">
      <c r="D113" s="3"/>
      <c r="G113" s="4">
        <f t="shared" si="1"/>
        <v>0</v>
      </c>
    </row>
    <row r="114" spans="4:7" x14ac:dyDescent="0.25">
      <c r="D114" s="3"/>
      <c r="G114" s="4">
        <f t="shared" si="1"/>
        <v>0</v>
      </c>
    </row>
    <row r="115" spans="4:7" x14ac:dyDescent="0.25">
      <c r="D115" s="3"/>
      <c r="G115" s="4">
        <f t="shared" si="1"/>
        <v>0</v>
      </c>
    </row>
    <row r="116" spans="4:7" x14ac:dyDescent="0.25">
      <c r="D116" s="3"/>
      <c r="G116" s="4">
        <f t="shared" si="1"/>
        <v>0</v>
      </c>
    </row>
    <row r="117" spans="4:7" x14ac:dyDescent="0.25">
      <c r="D117" s="3"/>
      <c r="G117" s="4">
        <f t="shared" si="1"/>
        <v>0</v>
      </c>
    </row>
    <row r="118" spans="4:7" x14ac:dyDescent="0.25">
      <c r="D118" s="3"/>
      <c r="G118" s="4">
        <f t="shared" si="1"/>
        <v>0</v>
      </c>
    </row>
    <row r="119" spans="4:7" x14ac:dyDescent="0.25">
      <c r="D119" s="3"/>
      <c r="G119" s="4">
        <f t="shared" si="1"/>
        <v>0</v>
      </c>
    </row>
    <row r="120" spans="4:7" x14ac:dyDescent="0.25">
      <c r="D120" s="3"/>
      <c r="G120" s="4">
        <f t="shared" si="1"/>
        <v>0</v>
      </c>
    </row>
    <row r="121" spans="4:7" x14ac:dyDescent="0.25">
      <c r="D121" s="3"/>
      <c r="G121" s="4">
        <f t="shared" si="1"/>
        <v>0</v>
      </c>
    </row>
    <row r="122" spans="4:7" x14ac:dyDescent="0.25">
      <c r="D122" s="3"/>
      <c r="G122" s="4">
        <f t="shared" si="1"/>
        <v>0</v>
      </c>
    </row>
    <row r="123" spans="4:7" x14ac:dyDescent="0.25">
      <c r="D123" s="3"/>
      <c r="G123" s="4">
        <f t="shared" si="1"/>
        <v>0</v>
      </c>
    </row>
    <row r="124" spans="4:7" x14ac:dyDescent="0.25">
      <c r="D124" s="3"/>
      <c r="G124" s="4">
        <f t="shared" si="1"/>
        <v>0</v>
      </c>
    </row>
    <row r="125" spans="4:7" x14ac:dyDescent="0.25">
      <c r="D125" s="3"/>
      <c r="G125" s="4">
        <f t="shared" si="1"/>
        <v>0</v>
      </c>
    </row>
    <row r="126" spans="4:7" x14ac:dyDescent="0.25">
      <c r="D126" s="3"/>
      <c r="G126" s="4">
        <f t="shared" si="1"/>
        <v>0</v>
      </c>
    </row>
    <row r="127" spans="4:7" x14ac:dyDescent="0.25">
      <c r="G127" s="4">
        <f t="shared" si="1"/>
        <v>0</v>
      </c>
    </row>
    <row r="128" spans="4:7" x14ac:dyDescent="0.25">
      <c r="G128" s="4">
        <f t="shared" si="1"/>
        <v>0</v>
      </c>
    </row>
    <row r="129" spans="7:7" x14ac:dyDescent="0.25">
      <c r="G129" s="4">
        <f t="shared" si="1"/>
        <v>0</v>
      </c>
    </row>
    <row r="130" spans="7:7" x14ac:dyDescent="0.25">
      <c r="G130" s="4">
        <f t="shared" si="1"/>
        <v>0</v>
      </c>
    </row>
    <row r="131" spans="7:7" x14ac:dyDescent="0.25">
      <c r="G131" s="4">
        <f t="shared" ref="G131:G151" si="2">SUMIF($C$2:$C$150,F131,$D$2:$D$150)</f>
        <v>0</v>
      </c>
    </row>
    <row r="132" spans="7:7" x14ac:dyDescent="0.25">
      <c r="G132" s="4">
        <f t="shared" si="2"/>
        <v>0</v>
      </c>
    </row>
    <row r="133" spans="7:7" x14ac:dyDescent="0.25">
      <c r="G133" s="4">
        <f t="shared" si="2"/>
        <v>0</v>
      </c>
    </row>
    <row r="134" spans="7:7" x14ac:dyDescent="0.25">
      <c r="G134" s="4">
        <f t="shared" si="2"/>
        <v>0</v>
      </c>
    </row>
    <row r="135" spans="7:7" x14ac:dyDescent="0.25">
      <c r="G135" s="4">
        <f t="shared" si="2"/>
        <v>0</v>
      </c>
    </row>
    <row r="136" spans="7:7" x14ac:dyDescent="0.25">
      <c r="G136" s="4">
        <f t="shared" si="2"/>
        <v>0</v>
      </c>
    </row>
    <row r="137" spans="7:7" x14ac:dyDescent="0.25">
      <c r="G137" s="4">
        <f t="shared" si="2"/>
        <v>0</v>
      </c>
    </row>
    <row r="138" spans="7:7" x14ac:dyDescent="0.25">
      <c r="G138" s="4">
        <f t="shared" si="2"/>
        <v>0</v>
      </c>
    </row>
    <row r="139" spans="7:7" x14ac:dyDescent="0.25">
      <c r="G139" s="4">
        <f t="shared" si="2"/>
        <v>0</v>
      </c>
    </row>
    <row r="140" spans="7:7" x14ac:dyDescent="0.25">
      <c r="G140" s="4">
        <f t="shared" si="2"/>
        <v>0</v>
      </c>
    </row>
    <row r="141" spans="7:7" x14ac:dyDescent="0.25">
      <c r="G141" s="4">
        <f t="shared" si="2"/>
        <v>0</v>
      </c>
    </row>
    <row r="142" spans="7:7" x14ac:dyDescent="0.25">
      <c r="G142" s="4">
        <f t="shared" si="2"/>
        <v>0</v>
      </c>
    </row>
    <row r="143" spans="7:7" x14ac:dyDescent="0.25">
      <c r="G143" s="4">
        <f t="shared" si="2"/>
        <v>0</v>
      </c>
    </row>
    <row r="144" spans="7:7" x14ac:dyDescent="0.25">
      <c r="G144" s="4">
        <f t="shared" si="2"/>
        <v>0</v>
      </c>
    </row>
    <row r="145" spans="7:7" x14ac:dyDescent="0.25">
      <c r="G145" s="4">
        <f t="shared" si="2"/>
        <v>0</v>
      </c>
    </row>
    <row r="146" spans="7:7" x14ac:dyDescent="0.25">
      <c r="G146" s="4">
        <f t="shared" si="2"/>
        <v>0</v>
      </c>
    </row>
    <row r="147" spans="7:7" x14ac:dyDescent="0.25">
      <c r="G147" s="4">
        <f t="shared" si="2"/>
        <v>0</v>
      </c>
    </row>
    <row r="148" spans="7:7" x14ac:dyDescent="0.25">
      <c r="G148" s="4">
        <f t="shared" si="2"/>
        <v>0</v>
      </c>
    </row>
    <row r="149" spans="7:7" x14ac:dyDescent="0.25">
      <c r="G149" s="4">
        <f t="shared" si="2"/>
        <v>0</v>
      </c>
    </row>
    <row r="150" spans="7:7" x14ac:dyDescent="0.25">
      <c r="G150" s="4">
        <f t="shared" si="2"/>
        <v>0</v>
      </c>
    </row>
    <row r="151" spans="7:7" x14ac:dyDescent="0.25">
      <c r="G151" s="4">
        <f t="shared" si="2"/>
        <v>0</v>
      </c>
    </row>
  </sheetData>
  <sortState xmlns:xlrd2="http://schemas.microsoft.com/office/spreadsheetml/2017/richdata2" ref="B2:D126">
    <sortCondition ref="B2:B126"/>
    <sortCondition ref="C2:C126"/>
  </sortState>
  <conditionalFormatting sqref="F2:G15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BB2D-BC06-4536-813E-1180592D1EC7}">
  <dimension ref="A1:N151"/>
  <sheetViews>
    <sheetView zoomScaleNormal="100" workbookViewId="0">
      <selection activeCell="G62" sqref="G62:G151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46174</v>
      </c>
      <c r="D2" s="4"/>
      <c r="F2" cm="1">
        <f t="array" ref="F2">_xlfn._xlws.SORT(_xlfn.UNIQUE(C2:C150))</f>
        <v>0</v>
      </c>
      <c r="G2" s="3">
        <f t="shared" ref="G2:G52" si="0"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D3" s="4"/>
      <c r="G3" s="3">
        <f t="shared" si="0"/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C6" s="4"/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F8" s="12"/>
      <c r="G8" s="3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F10" s="12"/>
      <c r="G10" s="3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3">
        <f t="shared" si="0"/>
        <v>0</v>
      </c>
    </row>
    <row r="12" spans="1:14" x14ac:dyDescent="0.25">
      <c r="G12" s="3">
        <f t="shared" si="0"/>
        <v>0</v>
      </c>
      <c r="M12" s="2" t="s">
        <v>15</v>
      </c>
    </row>
    <row r="13" spans="1:14" x14ac:dyDescent="0.25">
      <c r="G13" s="3">
        <f t="shared" si="0"/>
        <v>0</v>
      </c>
      <c r="M13" s="9">
        <f>SUM(D2:D150)</f>
        <v>0</v>
      </c>
    </row>
    <row r="14" spans="1:14" x14ac:dyDescent="0.25">
      <c r="G14" s="3">
        <f t="shared" si="0"/>
        <v>0</v>
      </c>
      <c r="M14" s="5"/>
    </row>
    <row r="15" spans="1:14" x14ac:dyDescent="0.25">
      <c r="F15" s="6"/>
      <c r="G15" s="3">
        <f t="shared" si="0"/>
        <v>0</v>
      </c>
    </row>
    <row r="16" spans="1:14" x14ac:dyDescent="0.25">
      <c r="G16" s="3">
        <f t="shared" si="0"/>
        <v>0</v>
      </c>
    </row>
    <row r="17" spans="3:7" x14ac:dyDescent="0.25">
      <c r="G17" s="3">
        <f t="shared" si="0"/>
        <v>0</v>
      </c>
    </row>
    <row r="18" spans="3:7" x14ac:dyDescent="0.25">
      <c r="G18" s="3">
        <f t="shared" si="0"/>
        <v>0</v>
      </c>
    </row>
    <row r="19" spans="3:7" x14ac:dyDescent="0.25">
      <c r="G19" s="3">
        <f t="shared" si="0"/>
        <v>0</v>
      </c>
    </row>
    <row r="20" spans="3:7" x14ac:dyDescent="0.25">
      <c r="G20" s="3">
        <f t="shared" si="0"/>
        <v>0</v>
      </c>
    </row>
    <row r="21" spans="3:7" x14ac:dyDescent="0.25">
      <c r="G21" s="3">
        <f t="shared" si="0"/>
        <v>0</v>
      </c>
    </row>
    <row r="22" spans="3:7" x14ac:dyDescent="0.25">
      <c r="G22" s="3">
        <f t="shared" si="0"/>
        <v>0</v>
      </c>
    </row>
    <row r="23" spans="3:7" x14ac:dyDescent="0.25">
      <c r="C23" s="6"/>
      <c r="G23" s="3">
        <f t="shared" si="0"/>
        <v>0</v>
      </c>
    </row>
    <row r="24" spans="3:7" x14ac:dyDescent="0.25">
      <c r="G24" s="3">
        <f t="shared" si="0"/>
        <v>0</v>
      </c>
    </row>
    <row r="25" spans="3:7" x14ac:dyDescent="0.25">
      <c r="G25" s="3">
        <f t="shared" si="0"/>
        <v>0</v>
      </c>
    </row>
    <row r="26" spans="3:7" x14ac:dyDescent="0.25">
      <c r="G26" s="3">
        <f t="shared" si="0"/>
        <v>0</v>
      </c>
    </row>
    <row r="27" spans="3:7" x14ac:dyDescent="0.25">
      <c r="G27" s="3">
        <f t="shared" si="0"/>
        <v>0</v>
      </c>
    </row>
    <row r="28" spans="3:7" x14ac:dyDescent="0.25">
      <c r="G28" s="3">
        <f t="shared" si="0"/>
        <v>0</v>
      </c>
    </row>
    <row r="29" spans="3:7" x14ac:dyDescent="0.25">
      <c r="G29" s="3">
        <f t="shared" si="0"/>
        <v>0</v>
      </c>
    </row>
    <row r="30" spans="3:7" x14ac:dyDescent="0.25">
      <c r="G30" s="3">
        <f t="shared" si="0"/>
        <v>0</v>
      </c>
    </row>
    <row r="31" spans="3:7" x14ac:dyDescent="0.25">
      <c r="G31" s="3">
        <f t="shared" si="0"/>
        <v>0</v>
      </c>
    </row>
    <row r="32" spans="3:7" x14ac:dyDescent="0.25">
      <c r="G32" s="3">
        <f t="shared" si="0"/>
        <v>0</v>
      </c>
    </row>
    <row r="33" spans="7:7" x14ac:dyDescent="0.25">
      <c r="G33" s="3">
        <f t="shared" si="0"/>
        <v>0</v>
      </c>
    </row>
    <row r="34" spans="7:7" x14ac:dyDescent="0.25">
      <c r="G34" s="3">
        <f t="shared" si="0"/>
        <v>0</v>
      </c>
    </row>
    <row r="35" spans="7:7" x14ac:dyDescent="0.25">
      <c r="G35" s="3">
        <f t="shared" si="0"/>
        <v>0</v>
      </c>
    </row>
    <row r="36" spans="7:7" x14ac:dyDescent="0.25">
      <c r="G36" s="3">
        <f t="shared" si="0"/>
        <v>0</v>
      </c>
    </row>
    <row r="37" spans="7:7" x14ac:dyDescent="0.25">
      <c r="G37" s="3">
        <f t="shared" si="0"/>
        <v>0</v>
      </c>
    </row>
    <row r="38" spans="7:7" x14ac:dyDescent="0.25">
      <c r="G38" s="3">
        <f t="shared" si="0"/>
        <v>0</v>
      </c>
    </row>
    <row r="39" spans="7:7" x14ac:dyDescent="0.25">
      <c r="G39" s="3">
        <f t="shared" si="0"/>
        <v>0</v>
      </c>
    </row>
    <row r="40" spans="7:7" x14ac:dyDescent="0.25">
      <c r="G40" s="3">
        <f t="shared" si="0"/>
        <v>0</v>
      </c>
    </row>
    <row r="41" spans="7:7" x14ac:dyDescent="0.25">
      <c r="G41" s="3">
        <f t="shared" si="0"/>
        <v>0</v>
      </c>
    </row>
    <row r="42" spans="7:7" x14ac:dyDescent="0.25">
      <c r="G42" s="3">
        <f t="shared" si="0"/>
        <v>0</v>
      </c>
    </row>
    <row r="43" spans="7:7" x14ac:dyDescent="0.25">
      <c r="G43" s="3">
        <f t="shared" si="0"/>
        <v>0</v>
      </c>
    </row>
    <row r="44" spans="7:7" x14ac:dyDescent="0.25">
      <c r="G44" s="3">
        <f t="shared" si="0"/>
        <v>0</v>
      </c>
    </row>
    <row r="45" spans="7:7" x14ac:dyDescent="0.25">
      <c r="G45" s="3">
        <f t="shared" si="0"/>
        <v>0</v>
      </c>
    </row>
    <row r="46" spans="7:7" x14ac:dyDescent="0.25">
      <c r="G46" s="3">
        <f t="shared" si="0"/>
        <v>0</v>
      </c>
    </row>
    <row r="47" spans="7:7" x14ac:dyDescent="0.25">
      <c r="G47" s="3">
        <f t="shared" si="0"/>
        <v>0</v>
      </c>
    </row>
    <row r="48" spans="7:7" x14ac:dyDescent="0.25">
      <c r="G48" s="3">
        <f t="shared" si="0"/>
        <v>0</v>
      </c>
    </row>
    <row r="49" spans="4:7" x14ac:dyDescent="0.25">
      <c r="G49" s="3">
        <f t="shared" si="0"/>
        <v>0</v>
      </c>
    </row>
    <row r="50" spans="4:7" x14ac:dyDescent="0.25"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>SUMIF($C$2:$C$150,F53,$D$2:$D$150)</f>
        <v>0</v>
      </c>
    </row>
    <row r="54" spans="4:7" x14ac:dyDescent="0.25">
      <c r="D54" s="4"/>
      <c r="G54" s="3">
        <f t="shared" ref="G54:G117" si="1">SUMIF($C$2:$C$150,F54,$D$2:$D$150)</f>
        <v>0</v>
      </c>
    </row>
    <row r="55" spans="4:7" x14ac:dyDescent="0.25">
      <c r="D55" s="4"/>
      <c r="G55" s="3">
        <f t="shared" si="1"/>
        <v>0</v>
      </c>
    </row>
    <row r="56" spans="4:7" x14ac:dyDescent="0.25">
      <c r="D56" s="4"/>
      <c r="G56" s="3">
        <f t="shared" si="1"/>
        <v>0</v>
      </c>
    </row>
    <row r="57" spans="4:7" x14ac:dyDescent="0.25">
      <c r="D57" s="4"/>
      <c r="G57" s="3">
        <f t="shared" si="1"/>
        <v>0</v>
      </c>
    </row>
    <row r="58" spans="4:7" x14ac:dyDescent="0.25">
      <c r="D58" s="4"/>
      <c r="G58" s="3">
        <f t="shared" si="1"/>
        <v>0</v>
      </c>
    </row>
    <row r="59" spans="4:7" x14ac:dyDescent="0.25">
      <c r="D59" s="4"/>
      <c r="G59" s="3">
        <f t="shared" si="1"/>
        <v>0</v>
      </c>
    </row>
    <row r="60" spans="4:7" x14ac:dyDescent="0.25">
      <c r="D60" s="4"/>
      <c r="G60" s="3">
        <f t="shared" si="1"/>
        <v>0</v>
      </c>
    </row>
    <row r="61" spans="4:7" x14ac:dyDescent="0.25">
      <c r="D61" s="4"/>
      <c r="G61" s="3">
        <f t="shared" si="1"/>
        <v>0</v>
      </c>
    </row>
    <row r="62" spans="4:7" x14ac:dyDescent="0.25">
      <c r="D62" s="4"/>
      <c r="G62" s="3">
        <f t="shared" si="1"/>
        <v>0</v>
      </c>
    </row>
    <row r="63" spans="4:7" x14ac:dyDescent="0.25">
      <c r="D63" s="4"/>
      <c r="G63" s="3">
        <f t="shared" si="1"/>
        <v>0</v>
      </c>
    </row>
    <row r="64" spans="4:7" x14ac:dyDescent="0.25">
      <c r="D64" s="4"/>
      <c r="G64" s="3">
        <f t="shared" si="1"/>
        <v>0</v>
      </c>
    </row>
    <row r="65" spans="4:7" x14ac:dyDescent="0.25">
      <c r="D65" s="4"/>
      <c r="G65" s="3">
        <f t="shared" si="1"/>
        <v>0</v>
      </c>
    </row>
    <row r="66" spans="4:7" x14ac:dyDescent="0.25">
      <c r="D66" s="4"/>
      <c r="G66" s="3">
        <f t="shared" si="1"/>
        <v>0</v>
      </c>
    </row>
    <row r="67" spans="4:7" x14ac:dyDescent="0.25">
      <c r="D67" s="4"/>
      <c r="G67" s="3">
        <f t="shared" si="1"/>
        <v>0</v>
      </c>
    </row>
    <row r="68" spans="4:7" x14ac:dyDescent="0.25">
      <c r="D68" s="4"/>
      <c r="G68" s="3">
        <f t="shared" si="1"/>
        <v>0</v>
      </c>
    </row>
    <row r="69" spans="4:7" x14ac:dyDescent="0.25">
      <c r="D69" s="4"/>
      <c r="G69" s="3">
        <f t="shared" si="1"/>
        <v>0</v>
      </c>
    </row>
    <row r="70" spans="4:7" x14ac:dyDescent="0.25">
      <c r="D70" s="4"/>
      <c r="G70" s="3">
        <f t="shared" si="1"/>
        <v>0</v>
      </c>
    </row>
    <row r="71" spans="4:7" x14ac:dyDescent="0.25">
      <c r="D71" s="4"/>
      <c r="G71" s="3">
        <f t="shared" si="1"/>
        <v>0</v>
      </c>
    </row>
    <row r="72" spans="4:7" x14ac:dyDescent="0.25">
      <c r="D72" s="4"/>
      <c r="G72" s="3">
        <f t="shared" si="1"/>
        <v>0</v>
      </c>
    </row>
    <row r="73" spans="4:7" x14ac:dyDescent="0.25">
      <c r="D73" s="4"/>
      <c r="G73" s="3">
        <f t="shared" si="1"/>
        <v>0</v>
      </c>
    </row>
    <row r="74" spans="4:7" x14ac:dyDescent="0.25">
      <c r="D74" s="4"/>
      <c r="G74" s="3">
        <f t="shared" si="1"/>
        <v>0</v>
      </c>
    </row>
    <row r="75" spans="4:7" x14ac:dyDescent="0.25">
      <c r="D75" s="4"/>
      <c r="G75" s="3">
        <f t="shared" si="1"/>
        <v>0</v>
      </c>
    </row>
    <row r="76" spans="4:7" x14ac:dyDescent="0.25">
      <c r="D76" s="4"/>
      <c r="G76" s="3">
        <f t="shared" si="1"/>
        <v>0</v>
      </c>
    </row>
    <row r="77" spans="4:7" x14ac:dyDescent="0.25">
      <c r="D77" s="4"/>
      <c r="G77" s="3">
        <f t="shared" si="1"/>
        <v>0</v>
      </c>
    </row>
    <row r="78" spans="4:7" x14ac:dyDescent="0.25">
      <c r="D78" s="4"/>
      <c r="G78" s="3">
        <f t="shared" si="1"/>
        <v>0</v>
      </c>
    </row>
    <row r="79" spans="4:7" x14ac:dyDescent="0.25">
      <c r="D79" s="4"/>
      <c r="G79" s="3">
        <f t="shared" si="1"/>
        <v>0</v>
      </c>
    </row>
    <row r="80" spans="4:7" x14ac:dyDescent="0.25">
      <c r="D80" s="4"/>
      <c r="G80" s="3">
        <f t="shared" si="1"/>
        <v>0</v>
      </c>
    </row>
    <row r="81" spans="4:7" x14ac:dyDescent="0.25">
      <c r="D81" s="4"/>
      <c r="G81" s="3">
        <f t="shared" si="1"/>
        <v>0</v>
      </c>
    </row>
    <row r="82" spans="4:7" x14ac:dyDescent="0.25">
      <c r="D82" s="4"/>
      <c r="G82" s="3">
        <f t="shared" si="1"/>
        <v>0</v>
      </c>
    </row>
    <row r="83" spans="4:7" x14ac:dyDescent="0.25">
      <c r="D83" s="4"/>
      <c r="G83" s="3">
        <f t="shared" si="1"/>
        <v>0</v>
      </c>
    </row>
    <row r="84" spans="4:7" x14ac:dyDescent="0.25">
      <c r="D84" s="4"/>
      <c r="G84" s="3">
        <f t="shared" si="1"/>
        <v>0</v>
      </c>
    </row>
    <row r="85" spans="4:7" x14ac:dyDescent="0.25">
      <c r="D85" s="4"/>
      <c r="G85" s="3">
        <f t="shared" si="1"/>
        <v>0</v>
      </c>
    </row>
    <row r="86" spans="4:7" x14ac:dyDescent="0.25">
      <c r="D86" s="4"/>
      <c r="G86" s="3">
        <f t="shared" si="1"/>
        <v>0</v>
      </c>
    </row>
    <row r="87" spans="4:7" x14ac:dyDescent="0.25">
      <c r="D87" s="4"/>
      <c r="G87" s="3">
        <f t="shared" si="1"/>
        <v>0</v>
      </c>
    </row>
    <row r="88" spans="4:7" x14ac:dyDescent="0.25">
      <c r="D88" s="4"/>
      <c r="G88" s="3">
        <f t="shared" si="1"/>
        <v>0</v>
      </c>
    </row>
    <row r="89" spans="4:7" x14ac:dyDescent="0.25">
      <c r="D89" s="4"/>
      <c r="G89" s="3">
        <f t="shared" si="1"/>
        <v>0</v>
      </c>
    </row>
    <row r="90" spans="4:7" x14ac:dyDescent="0.25">
      <c r="D90" s="4"/>
      <c r="G90" s="3">
        <f t="shared" si="1"/>
        <v>0</v>
      </c>
    </row>
    <row r="91" spans="4:7" x14ac:dyDescent="0.25">
      <c r="D91" s="4"/>
      <c r="G91" s="3">
        <f t="shared" si="1"/>
        <v>0</v>
      </c>
    </row>
    <row r="92" spans="4:7" x14ac:dyDescent="0.25">
      <c r="D92" s="4"/>
      <c r="G92" s="3">
        <f t="shared" si="1"/>
        <v>0</v>
      </c>
    </row>
    <row r="93" spans="4:7" x14ac:dyDescent="0.25">
      <c r="D93" s="4"/>
      <c r="G93" s="3">
        <f t="shared" si="1"/>
        <v>0</v>
      </c>
    </row>
    <row r="94" spans="4:7" x14ac:dyDescent="0.25">
      <c r="D94" s="4"/>
      <c r="G94" s="3">
        <f t="shared" si="1"/>
        <v>0</v>
      </c>
    </row>
    <row r="95" spans="4:7" x14ac:dyDescent="0.25">
      <c r="D95" s="4"/>
      <c r="G95" s="3">
        <f t="shared" si="1"/>
        <v>0</v>
      </c>
    </row>
    <row r="96" spans="4:7" x14ac:dyDescent="0.25">
      <c r="D96" s="4"/>
      <c r="G96" s="3">
        <f t="shared" si="1"/>
        <v>0</v>
      </c>
    </row>
    <row r="97" spans="4:7" x14ac:dyDescent="0.25">
      <c r="D97" s="4"/>
      <c r="G97" s="3">
        <f t="shared" si="1"/>
        <v>0</v>
      </c>
    </row>
    <row r="98" spans="4:7" x14ac:dyDescent="0.25">
      <c r="D98" s="4"/>
      <c r="G98" s="3">
        <f t="shared" si="1"/>
        <v>0</v>
      </c>
    </row>
    <row r="99" spans="4:7" x14ac:dyDescent="0.25">
      <c r="D99" s="4"/>
      <c r="G99" s="3">
        <f t="shared" si="1"/>
        <v>0</v>
      </c>
    </row>
    <row r="100" spans="4:7" x14ac:dyDescent="0.25">
      <c r="D100" s="4"/>
      <c r="G100" s="3">
        <f t="shared" si="1"/>
        <v>0</v>
      </c>
    </row>
    <row r="101" spans="4:7" x14ac:dyDescent="0.25">
      <c r="D101" s="4"/>
      <c r="G101" s="3">
        <f t="shared" si="1"/>
        <v>0</v>
      </c>
    </row>
    <row r="102" spans="4:7" x14ac:dyDescent="0.25">
      <c r="D102" s="4"/>
      <c r="G102" s="3">
        <f t="shared" si="1"/>
        <v>0</v>
      </c>
    </row>
    <row r="103" spans="4:7" x14ac:dyDescent="0.25">
      <c r="D103" s="4"/>
      <c r="G103" s="3">
        <f t="shared" si="1"/>
        <v>0</v>
      </c>
    </row>
    <row r="104" spans="4:7" x14ac:dyDescent="0.25">
      <c r="D104" s="4"/>
      <c r="G104" s="3">
        <f t="shared" si="1"/>
        <v>0</v>
      </c>
    </row>
    <row r="105" spans="4:7" x14ac:dyDescent="0.25">
      <c r="D105" s="4"/>
      <c r="G105" s="3">
        <f t="shared" si="1"/>
        <v>0</v>
      </c>
    </row>
    <row r="106" spans="4:7" x14ac:dyDescent="0.25">
      <c r="D106" s="4"/>
      <c r="G106" s="3">
        <f t="shared" si="1"/>
        <v>0</v>
      </c>
    </row>
    <row r="107" spans="4:7" x14ac:dyDescent="0.25">
      <c r="D107" s="4"/>
      <c r="G107" s="3">
        <f t="shared" si="1"/>
        <v>0</v>
      </c>
    </row>
    <row r="108" spans="4:7" x14ac:dyDescent="0.25">
      <c r="D108" s="4"/>
      <c r="G108" s="3">
        <f t="shared" si="1"/>
        <v>0</v>
      </c>
    </row>
    <row r="109" spans="4:7" x14ac:dyDescent="0.25">
      <c r="D109" s="4"/>
      <c r="G109" s="3">
        <f t="shared" si="1"/>
        <v>0</v>
      </c>
    </row>
    <row r="110" spans="4:7" x14ac:dyDescent="0.25">
      <c r="D110" s="4"/>
      <c r="G110" s="3">
        <f t="shared" si="1"/>
        <v>0</v>
      </c>
    </row>
    <row r="111" spans="4:7" x14ac:dyDescent="0.25">
      <c r="G111" s="3">
        <f t="shared" si="1"/>
        <v>0</v>
      </c>
    </row>
    <row r="112" spans="4:7" x14ac:dyDescent="0.25">
      <c r="D112" s="3"/>
      <c r="G112" s="3">
        <f t="shared" si="1"/>
        <v>0</v>
      </c>
    </row>
    <row r="113" spans="4:7" x14ac:dyDescent="0.25">
      <c r="D113" s="3"/>
      <c r="G113" s="3">
        <f t="shared" si="1"/>
        <v>0</v>
      </c>
    </row>
    <row r="114" spans="4:7" x14ac:dyDescent="0.25">
      <c r="D114" s="3"/>
      <c r="G114" s="3">
        <f t="shared" si="1"/>
        <v>0</v>
      </c>
    </row>
    <row r="115" spans="4:7" x14ac:dyDescent="0.25">
      <c r="D115" s="3"/>
      <c r="G115" s="3">
        <f t="shared" si="1"/>
        <v>0</v>
      </c>
    </row>
    <row r="116" spans="4:7" x14ac:dyDescent="0.25">
      <c r="D116" s="3"/>
      <c r="G116" s="3">
        <f t="shared" si="1"/>
        <v>0</v>
      </c>
    </row>
    <row r="117" spans="4:7" x14ac:dyDescent="0.25">
      <c r="D117" s="3"/>
      <c r="G117" s="3">
        <f t="shared" si="1"/>
        <v>0</v>
      </c>
    </row>
    <row r="118" spans="4:7" x14ac:dyDescent="0.25">
      <c r="D118" s="3"/>
      <c r="G118" s="3">
        <f t="shared" ref="G118:G151" si="2">SUMIF($C$2:$C$150,F118,$D$2:$D$150)</f>
        <v>0</v>
      </c>
    </row>
    <row r="119" spans="4:7" x14ac:dyDescent="0.25">
      <c r="D119" s="3"/>
      <c r="G119" s="3">
        <f t="shared" si="2"/>
        <v>0</v>
      </c>
    </row>
    <row r="120" spans="4:7" x14ac:dyDescent="0.25">
      <c r="D120" s="3"/>
      <c r="G120" s="3">
        <f t="shared" si="2"/>
        <v>0</v>
      </c>
    </row>
    <row r="121" spans="4:7" x14ac:dyDescent="0.25">
      <c r="D121" s="3"/>
      <c r="G121" s="3">
        <f t="shared" si="2"/>
        <v>0</v>
      </c>
    </row>
    <row r="122" spans="4:7" x14ac:dyDescent="0.25">
      <c r="D122" s="3"/>
      <c r="G122" s="3">
        <f t="shared" si="2"/>
        <v>0</v>
      </c>
    </row>
    <row r="123" spans="4:7" x14ac:dyDescent="0.25">
      <c r="D123" s="3"/>
      <c r="G123" s="3">
        <f t="shared" si="2"/>
        <v>0</v>
      </c>
    </row>
    <row r="124" spans="4:7" x14ac:dyDescent="0.25">
      <c r="D124" s="3"/>
      <c r="G124" s="3">
        <f t="shared" si="2"/>
        <v>0</v>
      </c>
    </row>
    <row r="125" spans="4:7" x14ac:dyDescent="0.25">
      <c r="D125" s="3"/>
      <c r="G125" s="3">
        <f t="shared" si="2"/>
        <v>0</v>
      </c>
    </row>
    <row r="126" spans="4:7" x14ac:dyDescent="0.25">
      <c r="G126" s="3">
        <f t="shared" si="2"/>
        <v>0</v>
      </c>
    </row>
    <row r="127" spans="4:7" x14ac:dyDescent="0.25">
      <c r="G127" s="3">
        <f t="shared" si="2"/>
        <v>0</v>
      </c>
    </row>
    <row r="128" spans="4:7" x14ac:dyDescent="0.25">
      <c r="G128" s="3">
        <f t="shared" si="2"/>
        <v>0</v>
      </c>
    </row>
    <row r="129" spans="7:7" x14ac:dyDescent="0.25">
      <c r="G129" s="3">
        <f t="shared" si="2"/>
        <v>0</v>
      </c>
    </row>
    <row r="130" spans="7:7" x14ac:dyDescent="0.25">
      <c r="G130" s="3">
        <f t="shared" si="2"/>
        <v>0</v>
      </c>
    </row>
    <row r="131" spans="7:7" x14ac:dyDescent="0.25">
      <c r="G131" s="3">
        <f t="shared" si="2"/>
        <v>0</v>
      </c>
    </row>
    <row r="132" spans="7:7" x14ac:dyDescent="0.25">
      <c r="G132" s="3">
        <f t="shared" si="2"/>
        <v>0</v>
      </c>
    </row>
    <row r="133" spans="7:7" x14ac:dyDescent="0.25">
      <c r="G133" s="3">
        <f t="shared" si="2"/>
        <v>0</v>
      </c>
    </row>
    <row r="134" spans="7:7" x14ac:dyDescent="0.25">
      <c r="G134" s="3">
        <f t="shared" si="2"/>
        <v>0</v>
      </c>
    </row>
    <row r="135" spans="7:7" x14ac:dyDescent="0.25">
      <c r="G135" s="3">
        <f t="shared" si="2"/>
        <v>0</v>
      </c>
    </row>
    <row r="136" spans="7:7" x14ac:dyDescent="0.25">
      <c r="G136" s="3">
        <f t="shared" si="2"/>
        <v>0</v>
      </c>
    </row>
    <row r="137" spans="7:7" x14ac:dyDescent="0.25">
      <c r="G137" s="3">
        <f t="shared" si="2"/>
        <v>0</v>
      </c>
    </row>
    <row r="138" spans="7:7" x14ac:dyDescent="0.25">
      <c r="G138" s="3">
        <f t="shared" si="2"/>
        <v>0</v>
      </c>
    </row>
    <row r="139" spans="7:7" x14ac:dyDescent="0.25">
      <c r="G139" s="3">
        <f t="shared" si="2"/>
        <v>0</v>
      </c>
    </row>
    <row r="140" spans="7:7" x14ac:dyDescent="0.25">
      <c r="G140" s="3">
        <f t="shared" si="2"/>
        <v>0</v>
      </c>
    </row>
    <row r="141" spans="7:7" x14ac:dyDescent="0.25">
      <c r="G141" s="3">
        <f t="shared" si="2"/>
        <v>0</v>
      </c>
    </row>
    <row r="142" spans="7:7" x14ac:dyDescent="0.25">
      <c r="G142" s="3">
        <f t="shared" si="2"/>
        <v>0</v>
      </c>
    </row>
    <row r="143" spans="7:7" x14ac:dyDescent="0.25">
      <c r="G143" s="3">
        <f t="shared" si="2"/>
        <v>0</v>
      </c>
    </row>
    <row r="144" spans="7:7" x14ac:dyDescent="0.25">
      <c r="G144" s="3">
        <f t="shared" si="2"/>
        <v>0</v>
      </c>
    </row>
    <row r="145" spans="7:7" x14ac:dyDescent="0.25">
      <c r="G145" s="3">
        <f t="shared" si="2"/>
        <v>0</v>
      </c>
    </row>
    <row r="146" spans="7:7" x14ac:dyDescent="0.25">
      <c r="G146" s="3">
        <f t="shared" si="2"/>
        <v>0</v>
      </c>
    </row>
    <row r="147" spans="7:7" x14ac:dyDescent="0.25">
      <c r="G147" s="3">
        <f t="shared" si="2"/>
        <v>0</v>
      </c>
    </row>
    <row r="148" spans="7:7" x14ac:dyDescent="0.25">
      <c r="G148" s="3">
        <f t="shared" si="2"/>
        <v>0</v>
      </c>
    </row>
    <row r="149" spans="7:7" x14ac:dyDescent="0.25">
      <c r="G149" s="3">
        <f t="shared" si="2"/>
        <v>0</v>
      </c>
    </row>
    <row r="150" spans="7:7" x14ac:dyDescent="0.25">
      <c r="G150" s="3">
        <f t="shared" si="2"/>
        <v>0</v>
      </c>
    </row>
    <row r="151" spans="7:7" x14ac:dyDescent="0.25">
      <c r="G151" s="3">
        <f t="shared" si="2"/>
        <v>0</v>
      </c>
    </row>
  </sheetData>
  <sortState xmlns:xlrd2="http://schemas.microsoft.com/office/spreadsheetml/2017/richdata2" ref="B2:D128">
    <sortCondition ref="B2:B128"/>
    <sortCondition ref="C2:C12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48EB-12C1-41E4-8F2D-9CBEB6019AE2}">
  <dimension ref="A1:N125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46204</v>
      </c>
      <c r="D2" s="4"/>
      <c r="F2" cm="1">
        <f t="array" ref="F2">_xlfn._xlws.SORT(_xlfn.UNIQUE(C2:C150))</f>
        <v>0</v>
      </c>
      <c r="G2" s="3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3">
        <f t="shared" ref="G3:G61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I8" s="12"/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3">
        <f t="shared" si="0"/>
        <v>0</v>
      </c>
      <c r="I10" s="12"/>
      <c r="M10" t="s">
        <v>8</v>
      </c>
      <c r="N10" s="4">
        <f>SUMIF($B$2:$B$150,"*SEB*",$D$2:$D$150)</f>
        <v>0</v>
      </c>
    </row>
    <row r="11" spans="1:14" x14ac:dyDescent="0.25">
      <c r="G11" s="3">
        <f t="shared" si="0"/>
        <v>0</v>
      </c>
    </row>
    <row r="12" spans="1:14" x14ac:dyDescent="0.25">
      <c r="G12" s="3">
        <f t="shared" si="0"/>
        <v>0</v>
      </c>
      <c r="M12" s="2" t="s">
        <v>15</v>
      </c>
    </row>
    <row r="13" spans="1:14" x14ac:dyDescent="0.25">
      <c r="G13" s="3">
        <f t="shared" si="0"/>
        <v>0</v>
      </c>
      <c r="M13" s="9">
        <f>SUM(D2:D150)</f>
        <v>0</v>
      </c>
    </row>
    <row r="14" spans="1:14" x14ac:dyDescent="0.25">
      <c r="G14" s="3">
        <f t="shared" si="0"/>
        <v>0</v>
      </c>
      <c r="M14" s="5"/>
    </row>
    <row r="15" spans="1:14" x14ac:dyDescent="0.25">
      <c r="G15" s="3">
        <f t="shared" si="0"/>
        <v>0</v>
      </c>
      <c r="I15" s="6"/>
    </row>
    <row r="16" spans="1:14" x14ac:dyDescent="0.25">
      <c r="G16" s="3">
        <f t="shared" si="0"/>
        <v>0</v>
      </c>
    </row>
    <row r="17" spans="7:7" x14ac:dyDescent="0.25">
      <c r="G17" s="3">
        <f t="shared" si="0"/>
        <v>0</v>
      </c>
    </row>
    <row r="18" spans="7:7" x14ac:dyDescent="0.25">
      <c r="G18" s="3">
        <f t="shared" si="0"/>
        <v>0</v>
      </c>
    </row>
    <row r="19" spans="7:7" x14ac:dyDescent="0.25">
      <c r="G19" s="3">
        <f t="shared" si="0"/>
        <v>0</v>
      </c>
    </row>
    <row r="20" spans="7:7" x14ac:dyDescent="0.25">
      <c r="G20" s="3">
        <f t="shared" si="0"/>
        <v>0</v>
      </c>
    </row>
    <row r="21" spans="7:7" x14ac:dyDescent="0.25">
      <c r="G21" s="3">
        <f t="shared" si="0"/>
        <v>0</v>
      </c>
    </row>
    <row r="22" spans="7:7" x14ac:dyDescent="0.25">
      <c r="G22" s="3">
        <f t="shared" si="0"/>
        <v>0</v>
      </c>
    </row>
    <row r="23" spans="7:7" x14ac:dyDescent="0.25">
      <c r="G23" s="3">
        <f t="shared" si="0"/>
        <v>0</v>
      </c>
    </row>
    <row r="24" spans="7:7" x14ac:dyDescent="0.25">
      <c r="G24" s="3">
        <f t="shared" si="0"/>
        <v>0</v>
      </c>
    </row>
    <row r="25" spans="7:7" x14ac:dyDescent="0.25">
      <c r="G25" s="3">
        <f t="shared" si="0"/>
        <v>0</v>
      </c>
    </row>
    <row r="26" spans="7:7" x14ac:dyDescent="0.25">
      <c r="G26" s="3">
        <f t="shared" si="0"/>
        <v>0</v>
      </c>
    </row>
    <row r="27" spans="7:7" x14ac:dyDescent="0.25">
      <c r="G27" s="3">
        <f t="shared" si="0"/>
        <v>0</v>
      </c>
    </row>
    <row r="28" spans="7:7" x14ac:dyDescent="0.25">
      <c r="G28" s="3">
        <f t="shared" si="0"/>
        <v>0</v>
      </c>
    </row>
    <row r="29" spans="7:7" x14ac:dyDescent="0.25">
      <c r="G29" s="3">
        <f t="shared" si="0"/>
        <v>0</v>
      </c>
    </row>
    <row r="30" spans="7:7" x14ac:dyDescent="0.25">
      <c r="G30" s="3">
        <f t="shared" si="0"/>
        <v>0</v>
      </c>
    </row>
    <row r="31" spans="7:7" x14ac:dyDescent="0.25">
      <c r="G31" s="3">
        <f t="shared" si="0"/>
        <v>0</v>
      </c>
    </row>
    <row r="32" spans="7:7" x14ac:dyDescent="0.25">
      <c r="G32" s="3">
        <f t="shared" si="0"/>
        <v>0</v>
      </c>
    </row>
    <row r="33" spans="7:7" x14ac:dyDescent="0.25">
      <c r="G33" s="3">
        <f t="shared" si="0"/>
        <v>0</v>
      </c>
    </row>
    <row r="34" spans="7:7" x14ac:dyDescent="0.25">
      <c r="G34" s="3">
        <f t="shared" si="0"/>
        <v>0</v>
      </c>
    </row>
    <row r="35" spans="7:7" x14ac:dyDescent="0.25">
      <c r="G35" s="3">
        <f t="shared" si="0"/>
        <v>0</v>
      </c>
    </row>
    <row r="36" spans="7:7" x14ac:dyDescent="0.25">
      <c r="G36" s="3">
        <f t="shared" si="0"/>
        <v>0</v>
      </c>
    </row>
    <row r="37" spans="7:7" x14ac:dyDescent="0.25">
      <c r="G37" s="3">
        <f t="shared" si="0"/>
        <v>0</v>
      </c>
    </row>
    <row r="38" spans="7:7" x14ac:dyDescent="0.25">
      <c r="G38" s="3">
        <f t="shared" si="0"/>
        <v>0</v>
      </c>
    </row>
    <row r="39" spans="7:7" x14ac:dyDescent="0.25">
      <c r="G39" s="3">
        <f t="shared" si="0"/>
        <v>0</v>
      </c>
    </row>
    <row r="40" spans="7:7" x14ac:dyDescent="0.25">
      <c r="G40" s="3">
        <f t="shared" si="0"/>
        <v>0</v>
      </c>
    </row>
    <row r="41" spans="7:7" x14ac:dyDescent="0.25">
      <c r="G41" s="3">
        <f t="shared" si="0"/>
        <v>0</v>
      </c>
    </row>
    <row r="42" spans="7:7" x14ac:dyDescent="0.25">
      <c r="G42" s="3">
        <f t="shared" si="0"/>
        <v>0</v>
      </c>
    </row>
    <row r="43" spans="7:7" x14ac:dyDescent="0.25">
      <c r="G43" s="3">
        <f t="shared" si="0"/>
        <v>0</v>
      </c>
    </row>
    <row r="44" spans="7:7" x14ac:dyDescent="0.25">
      <c r="G44" s="3">
        <f t="shared" si="0"/>
        <v>0</v>
      </c>
    </row>
    <row r="45" spans="7:7" x14ac:dyDescent="0.25">
      <c r="G45" s="3">
        <f t="shared" si="0"/>
        <v>0</v>
      </c>
    </row>
    <row r="46" spans="7:7" x14ac:dyDescent="0.25">
      <c r="G46" s="3">
        <f t="shared" si="0"/>
        <v>0</v>
      </c>
    </row>
    <row r="47" spans="7:7" x14ac:dyDescent="0.25">
      <c r="G47" s="3">
        <f t="shared" si="0"/>
        <v>0</v>
      </c>
    </row>
    <row r="48" spans="7:7" x14ac:dyDescent="0.25">
      <c r="G48" s="3">
        <f t="shared" si="0"/>
        <v>0</v>
      </c>
    </row>
    <row r="49" spans="4:7" x14ac:dyDescent="0.25">
      <c r="G49" s="3">
        <f t="shared" si="0"/>
        <v>0</v>
      </c>
    </row>
    <row r="50" spans="4:7" x14ac:dyDescent="0.25">
      <c r="D50" s="4"/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 t="shared" si="0"/>
        <v>0</v>
      </c>
    </row>
    <row r="54" spans="4:7" x14ac:dyDescent="0.25">
      <c r="D54" s="4"/>
      <c r="G54" s="3">
        <f t="shared" si="0"/>
        <v>0</v>
      </c>
    </row>
    <row r="55" spans="4:7" x14ac:dyDescent="0.25">
      <c r="D55" s="4"/>
      <c r="G55" s="3">
        <f t="shared" si="0"/>
        <v>0</v>
      </c>
    </row>
    <row r="56" spans="4:7" x14ac:dyDescent="0.25">
      <c r="D56" s="4"/>
      <c r="G56" s="3">
        <f t="shared" si="0"/>
        <v>0</v>
      </c>
    </row>
    <row r="57" spans="4:7" x14ac:dyDescent="0.25">
      <c r="D57" s="4"/>
      <c r="G57" s="3">
        <f t="shared" si="0"/>
        <v>0</v>
      </c>
    </row>
    <row r="58" spans="4:7" x14ac:dyDescent="0.25">
      <c r="D58" s="4"/>
      <c r="G58" s="3">
        <f t="shared" si="0"/>
        <v>0</v>
      </c>
    </row>
    <row r="59" spans="4:7" x14ac:dyDescent="0.25">
      <c r="D59" s="4"/>
      <c r="G59" s="3">
        <f t="shared" si="0"/>
        <v>0</v>
      </c>
    </row>
    <row r="60" spans="4:7" x14ac:dyDescent="0.25">
      <c r="D60" s="4"/>
      <c r="G60" s="3">
        <f t="shared" si="0"/>
        <v>0</v>
      </c>
    </row>
    <row r="61" spans="4:7" x14ac:dyDescent="0.25">
      <c r="D61" s="4"/>
      <c r="G61" s="3">
        <f t="shared" si="0"/>
        <v>0</v>
      </c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  <row r="125" spans="4:4" x14ac:dyDescent="0.25">
      <c r="D125" s="3"/>
    </row>
  </sheetData>
  <sortState xmlns:xlrd2="http://schemas.microsoft.com/office/spreadsheetml/2017/richdata2" ref="B2:D128">
    <sortCondition ref="B2:B128"/>
    <sortCondition ref="C2:C128"/>
  </sortState>
  <dataValidations count="1">
    <dataValidation allowBlank="1" showInputMessage="1" showErrorMessage="1" sqref="D2" xr:uid="{EA930E58-13B3-4D7F-8AC6-2DB4775C965D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F9A9-CC73-443D-B694-6A87FD2DD88D}">
  <dimension ref="A1:N124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46235</v>
      </c>
      <c r="D2" s="4"/>
      <c r="F2" cm="1">
        <f t="array" ref="F2">_xlfn._xlws.SORT(_xlfn.UNIQUE(C2:C150))</f>
        <v>0</v>
      </c>
      <c r="G2" s="3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3">
        <f t="shared" ref="G3:G60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3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3">
        <f t="shared" si="0"/>
        <v>0</v>
      </c>
    </row>
    <row r="12" spans="1:14" x14ac:dyDescent="0.25">
      <c r="G12" s="3">
        <f t="shared" si="0"/>
        <v>0</v>
      </c>
      <c r="M12" s="2" t="s">
        <v>15</v>
      </c>
    </row>
    <row r="13" spans="1:14" x14ac:dyDescent="0.25">
      <c r="G13" s="3">
        <f t="shared" si="0"/>
        <v>0</v>
      </c>
      <c r="M13" s="9">
        <f>SUM(D2:D150)</f>
        <v>0</v>
      </c>
    </row>
    <row r="14" spans="1:14" x14ac:dyDescent="0.25">
      <c r="G14" s="3">
        <f t="shared" si="0"/>
        <v>0</v>
      </c>
      <c r="M14" s="5"/>
    </row>
    <row r="15" spans="1:14" x14ac:dyDescent="0.25">
      <c r="G15" s="3">
        <f t="shared" si="0"/>
        <v>0</v>
      </c>
    </row>
    <row r="16" spans="1:14" x14ac:dyDescent="0.25">
      <c r="G16" s="3">
        <f t="shared" si="0"/>
        <v>0</v>
      </c>
    </row>
    <row r="17" spans="7:7" x14ac:dyDescent="0.25">
      <c r="G17" s="3">
        <f t="shared" si="0"/>
        <v>0</v>
      </c>
    </row>
    <row r="18" spans="7:7" x14ac:dyDescent="0.25">
      <c r="G18" s="3">
        <f t="shared" si="0"/>
        <v>0</v>
      </c>
    </row>
    <row r="19" spans="7:7" x14ac:dyDescent="0.25">
      <c r="G19" s="3">
        <f t="shared" si="0"/>
        <v>0</v>
      </c>
    </row>
    <row r="20" spans="7:7" x14ac:dyDescent="0.25">
      <c r="G20" s="3">
        <f t="shared" si="0"/>
        <v>0</v>
      </c>
    </row>
    <row r="21" spans="7:7" x14ac:dyDescent="0.25">
      <c r="G21" s="3">
        <f t="shared" si="0"/>
        <v>0</v>
      </c>
    </row>
    <row r="22" spans="7:7" x14ac:dyDescent="0.25">
      <c r="G22" s="3">
        <f t="shared" si="0"/>
        <v>0</v>
      </c>
    </row>
    <row r="23" spans="7:7" x14ac:dyDescent="0.25">
      <c r="G23" s="3">
        <f t="shared" si="0"/>
        <v>0</v>
      </c>
    </row>
    <row r="24" spans="7:7" x14ac:dyDescent="0.25">
      <c r="G24" s="3">
        <f t="shared" si="0"/>
        <v>0</v>
      </c>
    </row>
    <row r="25" spans="7:7" x14ac:dyDescent="0.25">
      <c r="G25" s="3">
        <f t="shared" si="0"/>
        <v>0</v>
      </c>
    </row>
    <row r="26" spans="7:7" x14ac:dyDescent="0.25">
      <c r="G26" s="3">
        <f t="shared" si="0"/>
        <v>0</v>
      </c>
    </row>
    <row r="27" spans="7:7" x14ac:dyDescent="0.25">
      <c r="G27" s="3">
        <f t="shared" si="0"/>
        <v>0</v>
      </c>
    </row>
    <row r="28" spans="7:7" x14ac:dyDescent="0.25">
      <c r="G28" s="3">
        <f t="shared" si="0"/>
        <v>0</v>
      </c>
    </row>
    <row r="29" spans="7:7" x14ac:dyDescent="0.25">
      <c r="G29" s="3">
        <f t="shared" si="0"/>
        <v>0</v>
      </c>
    </row>
    <row r="30" spans="7:7" x14ac:dyDescent="0.25">
      <c r="G30" s="3">
        <f t="shared" si="0"/>
        <v>0</v>
      </c>
    </row>
    <row r="31" spans="7:7" x14ac:dyDescent="0.25">
      <c r="G31" s="3">
        <f t="shared" si="0"/>
        <v>0</v>
      </c>
    </row>
    <row r="32" spans="7:7" x14ac:dyDescent="0.25">
      <c r="G32" s="3">
        <f t="shared" si="0"/>
        <v>0</v>
      </c>
    </row>
    <row r="33" spans="4:7" x14ac:dyDescent="0.25">
      <c r="G33" s="3">
        <f t="shared" si="0"/>
        <v>0</v>
      </c>
    </row>
    <row r="34" spans="4:7" x14ac:dyDescent="0.25">
      <c r="G34" s="3">
        <f t="shared" si="0"/>
        <v>0</v>
      </c>
    </row>
    <row r="35" spans="4:7" x14ac:dyDescent="0.25">
      <c r="G35" s="3">
        <f t="shared" si="0"/>
        <v>0</v>
      </c>
    </row>
    <row r="36" spans="4:7" x14ac:dyDescent="0.25">
      <c r="G36" s="3">
        <f t="shared" si="0"/>
        <v>0</v>
      </c>
    </row>
    <row r="37" spans="4:7" x14ac:dyDescent="0.25">
      <c r="G37" s="3">
        <f t="shared" si="0"/>
        <v>0</v>
      </c>
    </row>
    <row r="38" spans="4:7" x14ac:dyDescent="0.25">
      <c r="G38" s="3">
        <f t="shared" si="0"/>
        <v>0</v>
      </c>
    </row>
    <row r="39" spans="4:7" x14ac:dyDescent="0.25">
      <c r="G39" s="3">
        <f t="shared" si="0"/>
        <v>0</v>
      </c>
    </row>
    <row r="40" spans="4:7" x14ac:dyDescent="0.25">
      <c r="G40" s="3">
        <f t="shared" si="0"/>
        <v>0</v>
      </c>
    </row>
    <row r="41" spans="4:7" x14ac:dyDescent="0.25">
      <c r="G41" s="3">
        <f t="shared" si="0"/>
        <v>0</v>
      </c>
    </row>
    <row r="42" spans="4:7" x14ac:dyDescent="0.25">
      <c r="G42" s="3">
        <f t="shared" si="0"/>
        <v>0</v>
      </c>
    </row>
    <row r="43" spans="4:7" x14ac:dyDescent="0.25">
      <c r="G43" s="3">
        <f t="shared" si="0"/>
        <v>0</v>
      </c>
    </row>
    <row r="44" spans="4:7" x14ac:dyDescent="0.25">
      <c r="G44" s="3">
        <f t="shared" si="0"/>
        <v>0</v>
      </c>
    </row>
    <row r="45" spans="4:7" x14ac:dyDescent="0.25">
      <c r="G45" s="3">
        <f t="shared" si="0"/>
        <v>0</v>
      </c>
    </row>
    <row r="46" spans="4:7" x14ac:dyDescent="0.25">
      <c r="D46" s="4"/>
      <c r="G46" s="3">
        <f t="shared" si="0"/>
        <v>0</v>
      </c>
    </row>
    <row r="47" spans="4:7" x14ac:dyDescent="0.25">
      <c r="G47" s="3">
        <f t="shared" si="0"/>
        <v>0</v>
      </c>
    </row>
    <row r="48" spans="4:7" x14ac:dyDescent="0.25">
      <c r="G48" s="3">
        <f t="shared" si="0"/>
        <v>0</v>
      </c>
    </row>
    <row r="49" spans="4:7" x14ac:dyDescent="0.25">
      <c r="D49" s="4"/>
      <c r="G49" s="3">
        <f t="shared" si="0"/>
        <v>0</v>
      </c>
    </row>
    <row r="50" spans="4:7" x14ac:dyDescent="0.25">
      <c r="D50" s="4"/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 t="shared" si="0"/>
        <v>0</v>
      </c>
    </row>
    <row r="54" spans="4:7" x14ac:dyDescent="0.25">
      <c r="D54" s="4"/>
      <c r="G54" s="3">
        <f t="shared" si="0"/>
        <v>0</v>
      </c>
    </row>
    <row r="55" spans="4:7" x14ac:dyDescent="0.25">
      <c r="D55" s="4"/>
      <c r="G55" s="3">
        <f t="shared" si="0"/>
        <v>0</v>
      </c>
    </row>
    <row r="56" spans="4:7" x14ac:dyDescent="0.25">
      <c r="D56" s="4"/>
      <c r="G56" s="3">
        <f t="shared" si="0"/>
        <v>0</v>
      </c>
    </row>
    <row r="57" spans="4:7" x14ac:dyDescent="0.25">
      <c r="D57" s="4"/>
      <c r="G57" s="3">
        <f t="shared" si="0"/>
        <v>0</v>
      </c>
    </row>
    <row r="58" spans="4:7" x14ac:dyDescent="0.25">
      <c r="D58" s="4"/>
      <c r="G58" s="3">
        <f t="shared" si="0"/>
        <v>0</v>
      </c>
    </row>
    <row r="59" spans="4:7" x14ac:dyDescent="0.25">
      <c r="D59" s="4"/>
      <c r="G59" s="3">
        <f t="shared" si="0"/>
        <v>0</v>
      </c>
    </row>
    <row r="60" spans="4:7" x14ac:dyDescent="0.25">
      <c r="D60" s="4"/>
      <c r="G60" s="3">
        <f t="shared" si="0"/>
        <v>0</v>
      </c>
    </row>
    <row r="61" spans="4:7" x14ac:dyDescent="0.25">
      <c r="D61" s="4"/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</sheetData>
  <sortState xmlns:xlrd2="http://schemas.microsoft.com/office/spreadsheetml/2017/richdata2" ref="B2:D128">
    <sortCondition ref="B2:B128"/>
    <sortCondition ref="C2:C12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057-3492-4F9E-9A75-473F551CA4FD}">
  <dimension ref="A1:N124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46266</v>
      </c>
      <c r="D2" s="4"/>
      <c r="F2" cm="1">
        <f t="array" ref="F2">_xlfn._xlws.SORT(_xlfn.UNIQUE(C2:C150))</f>
        <v>0</v>
      </c>
      <c r="G2" s="3">
        <f t="shared" ref="G2:G33" si="0"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3">
        <f t="shared" si="0"/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3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3">
        <f t="shared" si="0"/>
        <v>0</v>
      </c>
    </row>
    <row r="12" spans="1:14" x14ac:dyDescent="0.25">
      <c r="G12" s="3">
        <f t="shared" si="0"/>
        <v>0</v>
      </c>
      <c r="M12" s="2" t="s">
        <v>15</v>
      </c>
    </row>
    <row r="13" spans="1:14" x14ac:dyDescent="0.25">
      <c r="G13" s="3">
        <f t="shared" si="0"/>
        <v>0</v>
      </c>
      <c r="M13" s="9">
        <f>SUM(D2:D150)</f>
        <v>0</v>
      </c>
    </row>
    <row r="14" spans="1:14" x14ac:dyDescent="0.25">
      <c r="G14" s="3">
        <f t="shared" si="0"/>
        <v>0</v>
      </c>
      <c r="M14" s="5"/>
    </row>
    <row r="15" spans="1:14" x14ac:dyDescent="0.25">
      <c r="G15" s="3">
        <f t="shared" si="0"/>
        <v>0</v>
      </c>
    </row>
    <row r="16" spans="1:14" x14ac:dyDescent="0.25">
      <c r="G16" s="3">
        <f t="shared" si="0"/>
        <v>0</v>
      </c>
    </row>
    <row r="17" spans="7:7" x14ac:dyDescent="0.25">
      <c r="G17" s="3">
        <f t="shared" si="0"/>
        <v>0</v>
      </c>
    </row>
    <row r="18" spans="7:7" x14ac:dyDescent="0.25">
      <c r="G18" s="3">
        <f t="shared" si="0"/>
        <v>0</v>
      </c>
    </row>
    <row r="19" spans="7:7" x14ac:dyDescent="0.25">
      <c r="G19" s="3">
        <f t="shared" si="0"/>
        <v>0</v>
      </c>
    </row>
    <row r="20" spans="7:7" x14ac:dyDescent="0.25">
      <c r="G20" s="3">
        <f t="shared" si="0"/>
        <v>0</v>
      </c>
    </row>
    <row r="21" spans="7:7" x14ac:dyDescent="0.25">
      <c r="G21" s="3">
        <f t="shared" si="0"/>
        <v>0</v>
      </c>
    </row>
    <row r="22" spans="7:7" x14ac:dyDescent="0.25">
      <c r="G22" s="3">
        <f t="shared" si="0"/>
        <v>0</v>
      </c>
    </row>
    <row r="23" spans="7:7" x14ac:dyDescent="0.25">
      <c r="G23" s="3">
        <f t="shared" si="0"/>
        <v>0</v>
      </c>
    </row>
    <row r="24" spans="7:7" x14ac:dyDescent="0.25">
      <c r="G24" s="3">
        <f t="shared" si="0"/>
        <v>0</v>
      </c>
    </row>
    <row r="25" spans="7:7" x14ac:dyDescent="0.25">
      <c r="G25" s="3">
        <f t="shared" si="0"/>
        <v>0</v>
      </c>
    </row>
    <row r="26" spans="7:7" x14ac:dyDescent="0.25">
      <c r="G26" s="3">
        <f t="shared" si="0"/>
        <v>0</v>
      </c>
    </row>
    <row r="27" spans="7:7" x14ac:dyDescent="0.25">
      <c r="G27" s="3">
        <f t="shared" si="0"/>
        <v>0</v>
      </c>
    </row>
    <row r="28" spans="7:7" x14ac:dyDescent="0.25">
      <c r="G28" s="3">
        <f t="shared" si="0"/>
        <v>0</v>
      </c>
    </row>
    <row r="29" spans="7:7" x14ac:dyDescent="0.25">
      <c r="G29" s="3">
        <f t="shared" si="0"/>
        <v>0</v>
      </c>
    </row>
    <row r="30" spans="7:7" x14ac:dyDescent="0.25">
      <c r="G30" s="3">
        <f t="shared" si="0"/>
        <v>0</v>
      </c>
    </row>
    <row r="31" spans="7:7" x14ac:dyDescent="0.25">
      <c r="G31" s="3">
        <f t="shared" si="0"/>
        <v>0</v>
      </c>
    </row>
    <row r="32" spans="7:7" x14ac:dyDescent="0.25">
      <c r="G32" s="3">
        <f t="shared" si="0"/>
        <v>0</v>
      </c>
    </row>
    <row r="33" spans="7:7" x14ac:dyDescent="0.25">
      <c r="G33" s="3">
        <f t="shared" si="0"/>
        <v>0</v>
      </c>
    </row>
    <row r="34" spans="7:7" x14ac:dyDescent="0.25">
      <c r="G34" s="3">
        <f t="shared" ref="G34:G65" si="1">SUMIF($C$2:$C$150,F34,$D$2:$D$150)</f>
        <v>0</v>
      </c>
    </row>
    <row r="35" spans="7:7" x14ac:dyDescent="0.25">
      <c r="G35" s="3">
        <f t="shared" si="1"/>
        <v>0</v>
      </c>
    </row>
    <row r="36" spans="7:7" x14ac:dyDescent="0.25">
      <c r="G36" s="3">
        <f t="shared" si="1"/>
        <v>0</v>
      </c>
    </row>
    <row r="37" spans="7:7" x14ac:dyDescent="0.25">
      <c r="G37" s="3">
        <f t="shared" si="1"/>
        <v>0</v>
      </c>
    </row>
    <row r="38" spans="7:7" x14ac:dyDescent="0.25">
      <c r="G38" s="3">
        <f t="shared" si="1"/>
        <v>0</v>
      </c>
    </row>
    <row r="39" spans="7:7" x14ac:dyDescent="0.25">
      <c r="G39" s="3">
        <f t="shared" si="1"/>
        <v>0</v>
      </c>
    </row>
    <row r="40" spans="7:7" x14ac:dyDescent="0.25">
      <c r="G40" s="3">
        <f t="shared" si="1"/>
        <v>0</v>
      </c>
    </row>
    <row r="41" spans="7:7" x14ac:dyDescent="0.25">
      <c r="G41" s="3">
        <f t="shared" si="1"/>
        <v>0</v>
      </c>
    </row>
    <row r="42" spans="7:7" x14ac:dyDescent="0.25">
      <c r="G42" s="3">
        <f t="shared" si="1"/>
        <v>0</v>
      </c>
    </row>
    <row r="43" spans="7:7" x14ac:dyDescent="0.25">
      <c r="G43" s="3">
        <f t="shared" si="1"/>
        <v>0</v>
      </c>
    </row>
    <row r="44" spans="7:7" x14ac:dyDescent="0.25">
      <c r="G44" s="3">
        <f t="shared" si="1"/>
        <v>0</v>
      </c>
    </row>
    <row r="45" spans="7:7" x14ac:dyDescent="0.25">
      <c r="G45" s="3">
        <f t="shared" si="1"/>
        <v>0</v>
      </c>
    </row>
    <row r="46" spans="7:7" x14ac:dyDescent="0.25">
      <c r="G46" s="3">
        <f t="shared" si="1"/>
        <v>0</v>
      </c>
    </row>
    <row r="47" spans="7:7" x14ac:dyDescent="0.25">
      <c r="G47" s="3">
        <f t="shared" si="1"/>
        <v>0</v>
      </c>
    </row>
    <row r="48" spans="7:7" x14ac:dyDescent="0.25">
      <c r="G48" s="3">
        <f t="shared" si="1"/>
        <v>0</v>
      </c>
    </row>
    <row r="49" spans="4:7" x14ac:dyDescent="0.25">
      <c r="G49" s="3">
        <f t="shared" si="1"/>
        <v>0</v>
      </c>
    </row>
    <row r="50" spans="4:7" x14ac:dyDescent="0.25">
      <c r="G50" s="3">
        <f t="shared" si="1"/>
        <v>0</v>
      </c>
    </row>
    <row r="51" spans="4:7" x14ac:dyDescent="0.25">
      <c r="D51" s="4"/>
      <c r="G51" s="3">
        <f t="shared" si="1"/>
        <v>0</v>
      </c>
    </row>
    <row r="52" spans="4:7" x14ac:dyDescent="0.25">
      <c r="D52" s="4"/>
      <c r="G52" s="3">
        <f t="shared" si="1"/>
        <v>0</v>
      </c>
    </row>
    <row r="53" spans="4:7" x14ac:dyDescent="0.25">
      <c r="D53" s="4"/>
      <c r="G53" s="3">
        <f t="shared" si="1"/>
        <v>0</v>
      </c>
    </row>
    <row r="54" spans="4:7" x14ac:dyDescent="0.25">
      <c r="D54" s="4"/>
      <c r="G54" s="3">
        <f t="shared" si="1"/>
        <v>0</v>
      </c>
    </row>
    <row r="55" spans="4:7" x14ac:dyDescent="0.25">
      <c r="D55" s="4"/>
      <c r="G55" s="3">
        <f t="shared" si="1"/>
        <v>0</v>
      </c>
    </row>
    <row r="56" spans="4:7" x14ac:dyDescent="0.25">
      <c r="D56" s="4"/>
      <c r="G56" s="3">
        <f t="shared" si="1"/>
        <v>0</v>
      </c>
    </row>
    <row r="57" spans="4:7" x14ac:dyDescent="0.25">
      <c r="D57" s="4"/>
      <c r="G57" s="3">
        <f t="shared" si="1"/>
        <v>0</v>
      </c>
    </row>
    <row r="58" spans="4:7" x14ac:dyDescent="0.25">
      <c r="D58" s="4"/>
      <c r="G58" s="3">
        <f t="shared" si="1"/>
        <v>0</v>
      </c>
    </row>
    <row r="59" spans="4:7" x14ac:dyDescent="0.25">
      <c r="D59" s="4"/>
      <c r="G59" s="3">
        <f t="shared" si="1"/>
        <v>0</v>
      </c>
    </row>
    <row r="60" spans="4:7" x14ac:dyDescent="0.25">
      <c r="D60" s="4"/>
    </row>
    <row r="61" spans="4:7" x14ac:dyDescent="0.25">
      <c r="D61" s="4"/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</sheetData>
  <sortState xmlns:xlrd2="http://schemas.microsoft.com/office/spreadsheetml/2017/richdata2" ref="B2:D124">
    <sortCondition ref="B2:B124"/>
    <sortCondition ref="C2:C1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D6EF-DF30-4172-9C6F-434E3898B5AE}">
  <dimension ref="A1:N124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46296</v>
      </c>
      <c r="D2" s="4"/>
      <c r="F2" cm="1">
        <f t="array" ref="F2">_xlfn._xlws.SORT(_xlfn.UNIQUE(C2:C150))</f>
        <v>0</v>
      </c>
      <c r="G2" s="3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3">
        <f t="shared" ref="G3:G58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G10" s="3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G11" s="3">
        <f t="shared" si="0"/>
        <v>0</v>
      </c>
    </row>
    <row r="12" spans="1:14" x14ac:dyDescent="0.25">
      <c r="G12" s="3">
        <f t="shared" si="0"/>
        <v>0</v>
      </c>
      <c r="M12" s="2" t="s">
        <v>15</v>
      </c>
    </row>
    <row r="13" spans="1:14" x14ac:dyDescent="0.25">
      <c r="G13" s="3">
        <f t="shared" si="0"/>
        <v>0</v>
      </c>
      <c r="M13" s="9">
        <f>SUM(D2:D150)</f>
        <v>0</v>
      </c>
    </row>
    <row r="14" spans="1:14" x14ac:dyDescent="0.25">
      <c r="G14" s="3">
        <f t="shared" si="0"/>
        <v>0</v>
      </c>
      <c r="M14" s="5"/>
    </row>
    <row r="15" spans="1:14" x14ac:dyDescent="0.25">
      <c r="G15" s="3">
        <f t="shared" si="0"/>
        <v>0</v>
      </c>
    </row>
    <row r="16" spans="1:14" x14ac:dyDescent="0.25">
      <c r="G16" s="3">
        <f t="shared" si="0"/>
        <v>0</v>
      </c>
    </row>
    <row r="17" spans="7:7" x14ac:dyDescent="0.25">
      <c r="G17" s="3">
        <f t="shared" si="0"/>
        <v>0</v>
      </c>
    </row>
    <row r="18" spans="7:7" x14ac:dyDescent="0.25">
      <c r="G18" s="3">
        <f t="shared" si="0"/>
        <v>0</v>
      </c>
    </row>
    <row r="19" spans="7:7" x14ac:dyDescent="0.25">
      <c r="G19" s="3">
        <f t="shared" si="0"/>
        <v>0</v>
      </c>
    </row>
    <row r="20" spans="7:7" x14ac:dyDescent="0.25">
      <c r="G20" s="3">
        <f t="shared" si="0"/>
        <v>0</v>
      </c>
    </row>
    <row r="21" spans="7:7" x14ac:dyDescent="0.25">
      <c r="G21" s="3">
        <f t="shared" si="0"/>
        <v>0</v>
      </c>
    </row>
    <row r="22" spans="7:7" x14ac:dyDescent="0.25">
      <c r="G22" s="3">
        <f t="shared" si="0"/>
        <v>0</v>
      </c>
    </row>
    <row r="23" spans="7:7" x14ac:dyDescent="0.25">
      <c r="G23" s="3">
        <f t="shared" si="0"/>
        <v>0</v>
      </c>
    </row>
    <row r="24" spans="7:7" x14ac:dyDescent="0.25">
      <c r="G24" s="3">
        <f t="shared" si="0"/>
        <v>0</v>
      </c>
    </row>
    <row r="25" spans="7:7" x14ac:dyDescent="0.25">
      <c r="G25" s="3">
        <f t="shared" si="0"/>
        <v>0</v>
      </c>
    </row>
    <row r="26" spans="7:7" x14ac:dyDescent="0.25">
      <c r="G26" s="3">
        <f t="shared" si="0"/>
        <v>0</v>
      </c>
    </row>
    <row r="27" spans="7:7" x14ac:dyDescent="0.25">
      <c r="G27" s="3">
        <f t="shared" si="0"/>
        <v>0</v>
      </c>
    </row>
    <row r="28" spans="7:7" x14ac:dyDescent="0.25">
      <c r="G28" s="3">
        <f t="shared" si="0"/>
        <v>0</v>
      </c>
    </row>
    <row r="29" spans="7:7" x14ac:dyDescent="0.25">
      <c r="G29" s="3">
        <f t="shared" si="0"/>
        <v>0</v>
      </c>
    </row>
    <row r="30" spans="7:7" x14ac:dyDescent="0.25">
      <c r="G30" s="3">
        <f t="shared" si="0"/>
        <v>0</v>
      </c>
    </row>
    <row r="31" spans="7:7" x14ac:dyDescent="0.25">
      <c r="G31" s="3">
        <f t="shared" si="0"/>
        <v>0</v>
      </c>
    </row>
    <row r="32" spans="7:7" x14ac:dyDescent="0.25">
      <c r="G32" s="3">
        <f t="shared" si="0"/>
        <v>0</v>
      </c>
    </row>
    <row r="33" spans="4:7" x14ac:dyDescent="0.25">
      <c r="G33" s="3">
        <f t="shared" si="0"/>
        <v>0</v>
      </c>
    </row>
    <row r="34" spans="4:7" x14ac:dyDescent="0.25">
      <c r="G34" s="3">
        <f t="shared" si="0"/>
        <v>0</v>
      </c>
    </row>
    <row r="35" spans="4:7" x14ac:dyDescent="0.25">
      <c r="G35" s="3">
        <f t="shared" si="0"/>
        <v>0</v>
      </c>
    </row>
    <row r="36" spans="4:7" x14ac:dyDescent="0.25">
      <c r="G36" s="3">
        <f t="shared" si="0"/>
        <v>0</v>
      </c>
    </row>
    <row r="37" spans="4:7" x14ac:dyDescent="0.25">
      <c r="G37" s="3">
        <f t="shared" si="0"/>
        <v>0</v>
      </c>
    </row>
    <row r="38" spans="4:7" x14ac:dyDescent="0.25">
      <c r="G38" s="3">
        <f t="shared" si="0"/>
        <v>0</v>
      </c>
    </row>
    <row r="39" spans="4:7" x14ac:dyDescent="0.25">
      <c r="G39" s="3">
        <f t="shared" si="0"/>
        <v>0</v>
      </c>
    </row>
    <row r="40" spans="4:7" x14ac:dyDescent="0.25">
      <c r="G40" s="3">
        <f t="shared" si="0"/>
        <v>0</v>
      </c>
    </row>
    <row r="41" spans="4:7" x14ac:dyDescent="0.25">
      <c r="G41" s="3">
        <f t="shared" si="0"/>
        <v>0</v>
      </c>
    </row>
    <row r="42" spans="4:7" x14ac:dyDescent="0.25">
      <c r="G42" s="3">
        <f t="shared" si="0"/>
        <v>0</v>
      </c>
    </row>
    <row r="43" spans="4:7" x14ac:dyDescent="0.25">
      <c r="G43" s="3">
        <f t="shared" si="0"/>
        <v>0</v>
      </c>
    </row>
    <row r="44" spans="4:7" x14ac:dyDescent="0.25">
      <c r="G44" s="3">
        <f t="shared" si="0"/>
        <v>0</v>
      </c>
    </row>
    <row r="45" spans="4:7" x14ac:dyDescent="0.25">
      <c r="G45" s="3">
        <f t="shared" si="0"/>
        <v>0</v>
      </c>
    </row>
    <row r="46" spans="4:7" x14ac:dyDescent="0.25">
      <c r="D46" s="4"/>
      <c r="G46" s="3">
        <f t="shared" si="0"/>
        <v>0</v>
      </c>
    </row>
    <row r="47" spans="4:7" x14ac:dyDescent="0.25">
      <c r="D47" s="4"/>
      <c r="G47" s="3">
        <f t="shared" si="0"/>
        <v>0</v>
      </c>
    </row>
    <row r="48" spans="4:7" x14ac:dyDescent="0.25">
      <c r="D48" s="4"/>
      <c r="G48" s="3">
        <f t="shared" si="0"/>
        <v>0</v>
      </c>
    </row>
    <row r="49" spans="4:7" x14ac:dyDescent="0.25">
      <c r="D49" s="4"/>
      <c r="G49" s="3">
        <f t="shared" si="0"/>
        <v>0</v>
      </c>
    </row>
    <row r="50" spans="4:7" x14ac:dyDescent="0.25">
      <c r="D50" s="4"/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 t="shared" si="0"/>
        <v>0</v>
      </c>
    </row>
    <row r="54" spans="4:7" x14ac:dyDescent="0.25">
      <c r="D54" s="4"/>
      <c r="G54" s="3">
        <f t="shared" si="0"/>
        <v>0</v>
      </c>
    </row>
    <row r="55" spans="4:7" x14ac:dyDescent="0.25">
      <c r="D55" s="4"/>
      <c r="G55" s="3">
        <f t="shared" si="0"/>
        <v>0</v>
      </c>
    </row>
    <row r="56" spans="4:7" x14ac:dyDescent="0.25">
      <c r="D56" s="4"/>
      <c r="G56" s="3">
        <f t="shared" si="0"/>
        <v>0</v>
      </c>
    </row>
    <row r="57" spans="4:7" x14ac:dyDescent="0.25">
      <c r="D57" s="4"/>
      <c r="G57" s="3">
        <f t="shared" si="0"/>
        <v>0</v>
      </c>
    </row>
    <row r="58" spans="4:7" x14ac:dyDescent="0.25">
      <c r="D58" s="4"/>
      <c r="G58" s="3">
        <f t="shared" si="0"/>
        <v>0</v>
      </c>
    </row>
    <row r="59" spans="4:7" x14ac:dyDescent="0.25">
      <c r="D59" s="4"/>
    </row>
    <row r="60" spans="4:7" x14ac:dyDescent="0.25">
      <c r="D60" s="4"/>
    </row>
    <row r="61" spans="4:7" x14ac:dyDescent="0.25">
      <c r="D61" s="4"/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5" x14ac:dyDescent="0.25">
      <c r="D97" s="4"/>
    </row>
    <row r="98" spans="4:5" x14ac:dyDescent="0.25">
      <c r="D98" s="4"/>
      <c r="E98" s="5"/>
    </row>
    <row r="99" spans="4:5" x14ac:dyDescent="0.25">
      <c r="D99" s="4"/>
    </row>
    <row r="100" spans="4:5" x14ac:dyDescent="0.25">
      <c r="D100" s="4"/>
    </row>
    <row r="101" spans="4:5" x14ac:dyDescent="0.25">
      <c r="D101" s="4"/>
    </row>
    <row r="103" spans="4:5" x14ac:dyDescent="0.25">
      <c r="D103" s="3"/>
    </row>
    <row r="104" spans="4:5" x14ac:dyDescent="0.25">
      <c r="D104" s="3"/>
    </row>
    <row r="105" spans="4:5" x14ac:dyDescent="0.25">
      <c r="D105" s="3"/>
    </row>
    <row r="106" spans="4:5" x14ac:dyDescent="0.25">
      <c r="D106" s="3"/>
    </row>
    <row r="107" spans="4:5" x14ac:dyDescent="0.25">
      <c r="D107" s="3"/>
    </row>
    <row r="108" spans="4:5" x14ac:dyDescent="0.25">
      <c r="D108" s="3"/>
    </row>
    <row r="109" spans="4:5" x14ac:dyDescent="0.25">
      <c r="D109" s="3"/>
    </row>
    <row r="110" spans="4:5" x14ac:dyDescent="0.25">
      <c r="D110" s="3"/>
    </row>
    <row r="111" spans="4:5" x14ac:dyDescent="0.25">
      <c r="D111" s="3"/>
    </row>
    <row r="112" spans="4:5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</sheetData>
  <sortState xmlns:xlrd2="http://schemas.microsoft.com/office/spreadsheetml/2017/richdata2" ref="B2:D124">
    <sortCondition ref="B2:B124"/>
    <sortCondition ref="C2:C12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C95A-3245-4A28-A9AC-B2C2549F6069}">
  <dimension ref="A1:N124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46327</v>
      </c>
      <c r="D2" s="4"/>
      <c r="F2" cm="1">
        <f t="array" ref="F2">_xlfn._xlws.SORT(_xlfn.UNIQUE(C2:C150))</f>
        <v>0</v>
      </c>
      <c r="G2" s="3">
        <f>SUMIF($C$2:$C$150,F2,$D$2:$D$150)</f>
        <v>0</v>
      </c>
      <c r="M2" t="s">
        <v>10</v>
      </c>
      <c r="N2" s="4">
        <f>SUMIF($H$2:$H$150,"*UN Blacklist 2023*",$G$2:$G$150)</f>
        <v>0</v>
      </c>
    </row>
    <row r="3" spans="1:14" x14ac:dyDescent="0.25">
      <c r="G3" s="3">
        <f t="shared" ref="G3:G59" si="0">SUMIF($C$2:$C$150,F3,$D$2:$D$150)</f>
        <v>0</v>
      </c>
      <c r="M3" t="s">
        <v>7</v>
      </c>
      <c r="N3" s="4">
        <f>SUMIF($H$2:$H$150,"*UN Blacklist 2025*",$G$2:$G$150)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SUMIF($H$2:$H$97150,"*AFSC Divestment List 2025*",$G$2:$G$150)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SUMIF($H$2:$H$150,"*Who Profits*",$G$2:$G$150)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M8" t="s">
        <v>0</v>
      </c>
      <c r="N8">
        <f>SUMIF($B$2:$B$150,"*Danske Bank*",$D$2:$D$150)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SUMIF($B$2:$B$150,"*Jyske Bank*",$D$2:$D$150)</f>
        <v>0</v>
      </c>
    </row>
    <row r="10" spans="1:14" x14ac:dyDescent="0.25">
      <c r="D10" s="4"/>
      <c r="G10" s="3">
        <f t="shared" si="0"/>
        <v>0</v>
      </c>
      <c r="M10" t="s">
        <v>8</v>
      </c>
      <c r="N10" s="4">
        <f>SUMIF($B$2:$B$150,"*SEB*",$D$2:$D$150)</f>
        <v>0</v>
      </c>
    </row>
    <row r="11" spans="1:14" x14ac:dyDescent="0.25">
      <c r="D11" s="4"/>
      <c r="G11" s="3">
        <f t="shared" si="0"/>
        <v>0</v>
      </c>
    </row>
    <row r="12" spans="1:14" x14ac:dyDescent="0.25">
      <c r="D12" s="4"/>
      <c r="G12" s="3">
        <f t="shared" si="0"/>
        <v>0</v>
      </c>
      <c r="M12" s="2" t="s">
        <v>15</v>
      </c>
    </row>
    <row r="13" spans="1:14" x14ac:dyDescent="0.25">
      <c r="D13" s="4"/>
      <c r="G13" s="3">
        <f t="shared" si="0"/>
        <v>0</v>
      </c>
      <c r="M13" s="9">
        <f>SUM(D2:D150)</f>
        <v>0</v>
      </c>
    </row>
    <row r="14" spans="1:14" x14ac:dyDescent="0.25">
      <c r="D14" s="4"/>
      <c r="G14" s="3">
        <f t="shared" si="0"/>
        <v>0</v>
      </c>
      <c r="M14" s="5"/>
    </row>
    <row r="15" spans="1:14" x14ac:dyDescent="0.25">
      <c r="D15" s="4"/>
      <c r="G15" s="3">
        <f t="shared" si="0"/>
        <v>0</v>
      </c>
    </row>
    <row r="16" spans="1:14" x14ac:dyDescent="0.25">
      <c r="D16" s="4"/>
      <c r="G16" s="3">
        <f t="shared" si="0"/>
        <v>0</v>
      </c>
    </row>
    <row r="17" spans="4:7" x14ac:dyDescent="0.25">
      <c r="D17" s="4"/>
      <c r="G17" s="3">
        <f t="shared" si="0"/>
        <v>0</v>
      </c>
    </row>
    <row r="18" spans="4:7" x14ac:dyDescent="0.25">
      <c r="D18" s="4"/>
      <c r="G18" s="3">
        <f t="shared" si="0"/>
        <v>0</v>
      </c>
    </row>
    <row r="19" spans="4:7" x14ac:dyDescent="0.25">
      <c r="D19" s="4"/>
      <c r="G19" s="3">
        <f t="shared" si="0"/>
        <v>0</v>
      </c>
    </row>
    <row r="20" spans="4:7" x14ac:dyDescent="0.25">
      <c r="D20" s="4"/>
      <c r="G20" s="3">
        <f t="shared" si="0"/>
        <v>0</v>
      </c>
    </row>
    <row r="21" spans="4:7" x14ac:dyDescent="0.25">
      <c r="D21" s="4"/>
      <c r="G21" s="3">
        <f t="shared" si="0"/>
        <v>0</v>
      </c>
    </row>
    <row r="22" spans="4:7" x14ac:dyDescent="0.25">
      <c r="D22" s="4"/>
      <c r="G22" s="3">
        <f t="shared" si="0"/>
        <v>0</v>
      </c>
    </row>
    <row r="23" spans="4:7" x14ac:dyDescent="0.25">
      <c r="D23" s="4"/>
      <c r="G23" s="3">
        <f t="shared" si="0"/>
        <v>0</v>
      </c>
    </row>
    <row r="24" spans="4:7" x14ac:dyDescent="0.25">
      <c r="D24" s="4"/>
      <c r="G24" s="3">
        <f t="shared" si="0"/>
        <v>0</v>
      </c>
    </row>
    <row r="25" spans="4:7" x14ac:dyDescent="0.25">
      <c r="D25" s="4"/>
      <c r="G25" s="3">
        <f t="shared" si="0"/>
        <v>0</v>
      </c>
    </row>
    <row r="26" spans="4:7" x14ac:dyDescent="0.25">
      <c r="D26" s="4"/>
      <c r="G26" s="3">
        <f t="shared" si="0"/>
        <v>0</v>
      </c>
    </row>
    <row r="27" spans="4:7" x14ac:dyDescent="0.25">
      <c r="D27" s="4"/>
      <c r="G27" s="3">
        <f t="shared" si="0"/>
        <v>0</v>
      </c>
    </row>
    <row r="28" spans="4:7" x14ac:dyDescent="0.25">
      <c r="D28" s="4"/>
      <c r="G28" s="3">
        <f t="shared" si="0"/>
        <v>0</v>
      </c>
    </row>
    <row r="29" spans="4:7" x14ac:dyDescent="0.25">
      <c r="D29" s="4"/>
      <c r="G29" s="3">
        <f t="shared" si="0"/>
        <v>0</v>
      </c>
    </row>
    <row r="30" spans="4:7" x14ac:dyDescent="0.25">
      <c r="D30" s="4"/>
      <c r="G30" s="3">
        <f t="shared" si="0"/>
        <v>0</v>
      </c>
    </row>
    <row r="31" spans="4:7" x14ac:dyDescent="0.25">
      <c r="D31" s="4"/>
      <c r="G31" s="3">
        <f t="shared" si="0"/>
        <v>0</v>
      </c>
    </row>
    <row r="32" spans="4:7" x14ac:dyDescent="0.25">
      <c r="D32" s="4"/>
      <c r="G32" s="3">
        <f t="shared" si="0"/>
        <v>0</v>
      </c>
    </row>
    <row r="33" spans="4:7" x14ac:dyDescent="0.25">
      <c r="D33" s="4"/>
      <c r="G33" s="3">
        <f t="shared" si="0"/>
        <v>0</v>
      </c>
    </row>
    <row r="34" spans="4:7" x14ac:dyDescent="0.25">
      <c r="D34" s="4"/>
      <c r="G34" s="3">
        <f t="shared" si="0"/>
        <v>0</v>
      </c>
    </row>
    <row r="35" spans="4:7" x14ac:dyDescent="0.25">
      <c r="D35" s="4"/>
      <c r="E35" t="s">
        <v>9</v>
      </c>
      <c r="G35" s="3">
        <f t="shared" si="0"/>
        <v>0</v>
      </c>
    </row>
    <row r="36" spans="4:7" x14ac:dyDescent="0.25">
      <c r="D36" s="4"/>
      <c r="G36" s="3">
        <f t="shared" si="0"/>
        <v>0</v>
      </c>
    </row>
    <row r="37" spans="4:7" x14ac:dyDescent="0.25">
      <c r="D37" s="4"/>
      <c r="G37" s="3">
        <f t="shared" si="0"/>
        <v>0</v>
      </c>
    </row>
    <row r="38" spans="4:7" x14ac:dyDescent="0.25">
      <c r="D38" s="4"/>
      <c r="G38" s="3">
        <f t="shared" si="0"/>
        <v>0</v>
      </c>
    </row>
    <row r="39" spans="4:7" x14ac:dyDescent="0.25">
      <c r="D39" s="4"/>
      <c r="G39" s="3">
        <f t="shared" si="0"/>
        <v>0</v>
      </c>
    </row>
    <row r="40" spans="4:7" x14ac:dyDescent="0.25">
      <c r="D40" s="4"/>
      <c r="G40" s="3">
        <f t="shared" si="0"/>
        <v>0</v>
      </c>
    </row>
    <row r="41" spans="4:7" x14ac:dyDescent="0.25">
      <c r="D41" s="4"/>
      <c r="G41" s="3">
        <f t="shared" si="0"/>
        <v>0</v>
      </c>
    </row>
    <row r="42" spans="4:7" x14ac:dyDescent="0.25">
      <c r="D42" s="4"/>
      <c r="G42" s="3">
        <f t="shared" si="0"/>
        <v>0</v>
      </c>
    </row>
    <row r="43" spans="4:7" x14ac:dyDescent="0.25">
      <c r="G43" s="3">
        <f t="shared" si="0"/>
        <v>0</v>
      </c>
    </row>
    <row r="44" spans="4:7" x14ac:dyDescent="0.25">
      <c r="G44" s="3">
        <f t="shared" si="0"/>
        <v>0</v>
      </c>
    </row>
    <row r="45" spans="4:7" x14ac:dyDescent="0.25">
      <c r="D45" s="4"/>
      <c r="G45" s="3">
        <f t="shared" si="0"/>
        <v>0</v>
      </c>
    </row>
    <row r="46" spans="4:7" x14ac:dyDescent="0.25">
      <c r="D46" s="4"/>
      <c r="G46" s="3">
        <f t="shared" si="0"/>
        <v>0</v>
      </c>
    </row>
    <row r="47" spans="4:7" x14ac:dyDescent="0.25">
      <c r="D47" s="4"/>
      <c r="G47" s="3">
        <f t="shared" si="0"/>
        <v>0</v>
      </c>
    </row>
    <row r="48" spans="4:7" x14ac:dyDescent="0.25">
      <c r="D48" s="4"/>
      <c r="G48" s="3">
        <f t="shared" si="0"/>
        <v>0</v>
      </c>
    </row>
    <row r="49" spans="4:7" x14ac:dyDescent="0.25">
      <c r="D49" s="4"/>
      <c r="G49" s="3">
        <f t="shared" si="0"/>
        <v>0</v>
      </c>
    </row>
    <row r="50" spans="4:7" x14ac:dyDescent="0.25">
      <c r="D50" s="4"/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 t="shared" si="0"/>
        <v>0</v>
      </c>
    </row>
    <row r="54" spans="4:7" x14ac:dyDescent="0.25">
      <c r="D54" s="4"/>
      <c r="G54" s="3">
        <f t="shared" si="0"/>
        <v>0</v>
      </c>
    </row>
    <row r="55" spans="4:7" x14ac:dyDescent="0.25">
      <c r="D55" s="4"/>
      <c r="G55" s="3">
        <f t="shared" si="0"/>
        <v>0</v>
      </c>
    </row>
    <row r="56" spans="4:7" x14ac:dyDescent="0.25">
      <c r="D56" s="4"/>
      <c r="G56" s="3">
        <f t="shared" si="0"/>
        <v>0</v>
      </c>
    </row>
    <row r="57" spans="4:7" x14ac:dyDescent="0.25">
      <c r="D57" s="4"/>
      <c r="G57" s="3">
        <f t="shared" si="0"/>
        <v>0</v>
      </c>
    </row>
    <row r="58" spans="4:7" x14ac:dyDescent="0.25">
      <c r="D58" s="4"/>
      <c r="G58" s="3">
        <f t="shared" si="0"/>
        <v>0</v>
      </c>
    </row>
    <row r="59" spans="4:7" x14ac:dyDescent="0.25">
      <c r="D59" s="4"/>
      <c r="G59" s="3">
        <f t="shared" si="0"/>
        <v>0</v>
      </c>
    </row>
    <row r="60" spans="4:7" x14ac:dyDescent="0.25">
      <c r="D60" s="4"/>
    </row>
    <row r="61" spans="4:7" x14ac:dyDescent="0.25">
      <c r="D61" s="4"/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5" x14ac:dyDescent="0.25">
      <c r="D97" s="4"/>
    </row>
    <row r="98" spans="4:5" x14ac:dyDescent="0.25">
      <c r="D98" s="4"/>
      <c r="E98" s="5"/>
    </row>
    <row r="99" spans="4:5" x14ac:dyDescent="0.25">
      <c r="D99" s="4"/>
    </row>
    <row r="100" spans="4:5" x14ac:dyDescent="0.25">
      <c r="D100" s="4"/>
    </row>
    <row r="101" spans="4:5" x14ac:dyDescent="0.25">
      <c r="D101" s="4"/>
    </row>
    <row r="102" spans="4:5" x14ac:dyDescent="0.25">
      <c r="D102" s="3"/>
    </row>
    <row r="103" spans="4:5" x14ac:dyDescent="0.25">
      <c r="D103" s="3"/>
    </row>
    <row r="104" spans="4:5" x14ac:dyDescent="0.25">
      <c r="D104" s="3"/>
    </row>
    <row r="105" spans="4:5" x14ac:dyDescent="0.25">
      <c r="D105" s="3"/>
    </row>
    <row r="106" spans="4:5" x14ac:dyDescent="0.25">
      <c r="D106" s="3"/>
    </row>
    <row r="107" spans="4:5" x14ac:dyDescent="0.25">
      <c r="D107" s="3"/>
    </row>
    <row r="108" spans="4:5" x14ac:dyDescent="0.25">
      <c r="D108" s="3"/>
    </row>
    <row r="109" spans="4:5" x14ac:dyDescent="0.25">
      <c r="D109" s="3"/>
    </row>
    <row r="110" spans="4:5" x14ac:dyDescent="0.25">
      <c r="D110" s="3"/>
    </row>
    <row r="111" spans="4:5" x14ac:dyDescent="0.25">
      <c r="D111" s="3"/>
    </row>
    <row r="112" spans="4:5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  <row r="119" spans="4:4" x14ac:dyDescent="0.25">
      <c r="D119" s="3"/>
    </row>
    <row r="120" spans="4:4" x14ac:dyDescent="0.25">
      <c r="D120" s="3"/>
    </row>
    <row r="121" spans="4:4" x14ac:dyDescent="0.25">
      <c r="D121" s="3"/>
    </row>
    <row r="122" spans="4:4" x14ac:dyDescent="0.25">
      <c r="D122" s="3"/>
    </row>
    <row r="123" spans="4:4" x14ac:dyDescent="0.25">
      <c r="D123" s="3"/>
    </row>
    <row r="124" spans="4:4" x14ac:dyDescent="0.25">
      <c r="D124" s="3"/>
    </row>
  </sheetData>
  <sortState xmlns:xlrd2="http://schemas.microsoft.com/office/spreadsheetml/2017/richdata2" ref="B2:D124">
    <sortCondition ref="B2:B124"/>
    <sortCondition ref="C2:C12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490-716A-4B19-AC20-A803A9BEBB0E}">
  <dimension ref="A1:N118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6.42578125" customWidth="1"/>
    <col min="4" max="5" width="14.42578125" customWidth="1"/>
    <col min="6" max="6" width="26.42578125" customWidth="1"/>
    <col min="7" max="8" width="14.42578125" customWidth="1"/>
    <col min="13" max="13" width="22.85546875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7" t="s">
        <v>4</v>
      </c>
      <c r="F1" s="2" t="s">
        <v>12</v>
      </c>
      <c r="G1" s="2" t="s">
        <v>4</v>
      </c>
      <c r="H1" s="2" t="s">
        <v>5</v>
      </c>
      <c r="I1" s="2"/>
      <c r="M1" s="2" t="s">
        <v>13</v>
      </c>
      <c r="N1" s="2" t="s">
        <v>4</v>
      </c>
    </row>
    <row r="2" spans="1:14" x14ac:dyDescent="0.25">
      <c r="A2" s="1">
        <v>46357</v>
      </c>
      <c r="D2" s="4"/>
      <c r="F2" cm="1">
        <f t="array" ref="F2">_xlfn._xlws.SORT(_xlfn.UNIQUE(C2:C144))</f>
        <v>0</v>
      </c>
      <c r="G2" s="3">
        <f t="shared" ref="G2:G59" si="0">SUMIF($C$2:$C$144,F2,$D$2:$D$144)</f>
        <v>0</v>
      </c>
      <c r="M2" t="s">
        <v>10</v>
      </c>
      <c r="N2" s="4">
        <f>SUMIF($H$2:$H$144,"*UN Blacklist 2023*",$G$2:$G$144)</f>
        <v>0</v>
      </c>
    </row>
    <row r="3" spans="1:14" x14ac:dyDescent="0.25">
      <c r="G3" s="3">
        <f t="shared" si="0"/>
        <v>0</v>
      </c>
      <c r="M3" t="s">
        <v>7</v>
      </c>
      <c r="N3" s="4">
        <f>SUMIF($H$2:$H$144,"*UN Blacklist 2025*",$G$2:$G$144)</f>
        <v>0</v>
      </c>
    </row>
    <row r="4" spans="1:14" x14ac:dyDescent="0.25">
      <c r="D4" s="4"/>
      <c r="G4" s="3">
        <f t="shared" si="0"/>
        <v>0</v>
      </c>
      <c r="M4" t="s">
        <v>9</v>
      </c>
      <c r="N4" s="4">
        <f ca="1">SUMIF($H$2:$H$97144,"*AFSC Divestment List 2025*",$G$2:$G$144)</f>
        <v>0</v>
      </c>
    </row>
    <row r="5" spans="1:14" x14ac:dyDescent="0.25">
      <c r="D5" s="4"/>
      <c r="G5" s="3">
        <f t="shared" si="0"/>
        <v>0</v>
      </c>
      <c r="M5" t="s">
        <v>11</v>
      </c>
      <c r="N5" s="4">
        <f>SUMIF($H$2:$H$144,"*Who Profits*",$G$2:$G$144)</f>
        <v>0</v>
      </c>
    </row>
    <row r="6" spans="1:14" x14ac:dyDescent="0.25">
      <c r="D6" s="4"/>
      <c r="G6" s="3">
        <f t="shared" si="0"/>
        <v>0</v>
      </c>
    </row>
    <row r="7" spans="1:14" x14ac:dyDescent="0.25">
      <c r="D7" s="4"/>
      <c r="G7" s="3">
        <f t="shared" si="0"/>
        <v>0</v>
      </c>
      <c r="M7" s="2" t="s">
        <v>14</v>
      </c>
      <c r="N7" s="2" t="s">
        <v>4</v>
      </c>
    </row>
    <row r="8" spans="1:14" x14ac:dyDescent="0.25">
      <c r="D8" s="4"/>
      <c r="G8" s="3">
        <f t="shared" si="0"/>
        <v>0</v>
      </c>
      <c r="M8" t="s">
        <v>0</v>
      </c>
      <c r="N8">
        <f>SUMIF($B$2:$B$144,"*Danske Bank*",$D$2:$D$144)</f>
        <v>0</v>
      </c>
    </row>
    <row r="9" spans="1:14" x14ac:dyDescent="0.25">
      <c r="D9" s="4"/>
      <c r="G9" s="3">
        <f t="shared" si="0"/>
        <v>0</v>
      </c>
      <c r="M9" t="s">
        <v>6</v>
      </c>
      <c r="N9">
        <f>SUMIF($B$2:$B$144,"*Jyske Bank*",$D$2:$D$144)</f>
        <v>0</v>
      </c>
    </row>
    <row r="10" spans="1:14" x14ac:dyDescent="0.25">
      <c r="D10" s="4"/>
      <c r="G10" s="3">
        <f t="shared" si="0"/>
        <v>0</v>
      </c>
      <c r="M10" t="s">
        <v>8</v>
      </c>
      <c r="N10" s="4">
        <f>SUMIF($B$2:$B$144,"*SEB*",$D$2:$D$144)</f>
        <v>0</v>
      </c>
    </row>
    <row r="11" spans="1:14" x14ac:dyDescent="0.25">
      <c r="D11" s="4"/>
      <c r="G11" s="3">
        <f t="shared" si="0"/>
        <v>0</v>
      </c>
    </row>
    <row r="12" spans="1:14" x14ac:dyDescent="0.25">
      <c r="D12" s="13"/>
      <c r="G12" s="3">
        <f t="shared" si="0"/>
        <v>0</v>
      </c>
      <c r="M12" s="2" t="s">
        <v>15</v>
      </c>
    </row>
    <row r="13" spans="1:14" x14ac:dyDescent="0.25">
      <c r="D13" s="13"/>
      <c r="G13" s="3">
        <f t="shared" si="0"/>
        <v>0</v>
      </c>
      <c r="M13" s="9">
        <f>SUM(D2:D144)</f>
        <v>0</v>
      </c>
    </row>
    <row r="14" spans="1:14" x14ac:dyDescent="0.25">
      <c r="D14" s="13"/>
      <c r="G14" s="3">
        <f t="shared" si="0"/>
        <v>0</v>
      </c>
      <c r="M14" s="5"/>
    </row>
    <row r="15" spans="1:14" x14ac:dyDescent="0.25">
      <c r="D15" s="4"/>
      <c r="G15" s="3">
        <f t="shared" si="0"/>
        <v>0</v>
      </c>
    </row>
    <row r="16" spans="1:14" x14ac:dyDescent="0.25">
      <c r="D16" s="13"/>
      <c r="G16" s="3">
        <f t="shared" si="0"/>
        <v>0</v>
      </c>
    </row>
    <row r="17" spans="4:7" x14ac:dyDescent="0.25">
      <c r="D17" s="4"/>
      <c r="G17" s="3">
        <f t="shared" si="0"/>
        <v>0</v>
      </c>
    </row>
    <row r="18" spans="4:7" x14ac:dyDescent="0.25">
      <c r="D18" s="4"/>
      <c r="G18" s="3">
        <f t="shared" si="0"/>
        <v>0</v>
      </c>
    </row>
    <row r="19" spans="4:7" x14ac:dyDescent="0.25">
      <c r="D19" s="4"/>
      <c r="G19" s="3">
        <f t="shared" si="0"/>
        <v>0</v>
      </c>
    </row>
    <row r="20" spans="4:7" x14ac:dyDescent="0.25">
      <c r="D20" s="4"/>
      <c r="G20" s="3">
        <f t="shared" si="0"/>
        <v>0</v>
      </c>
    </row>
    <row r="21" spans="4:7" x14ac:dyDescent="0.25">
      <c r="D21" s="4"/>
      <c r="G21" s="3">
        <f t="shared" si="0"/>
        <v>0</v>
      </c>
    </row>
    <row r="22" spans="4:7" x14ac:dyDescent="0.25">
      <c r="D22" s="4"/>
      <c r="G22" s="3">
        <f t="shared" si="0"/>
        <v>0</v>
      </c>
    </row>
    <row r="23" spans="4:7" x14ac:dyDescent="0.25">
      <c r="D23" s="4"/>
      <c r="G23" s="3">
        <f t="shared" si="0"/>
        <v>0</v>
      </c>
    </row>
    <row r="24" spans="4:7" x14ac:dyDescent="0.25">
      <c r="D24" s="4"/>
      <c r="G24" s="3">
        <f t="shared" si="0"/>
        <v>0</v>
      </c>
    </row>
    <row r="25" spans="4:7" x14ac:dyDescent="0.25">
      <c r="D25" s="4"/>
      <c r="G25" s="3">
        <f t="shared" si="0"/>
        <v>0</v>
      </c>
    </row>
    <row r="26" spans="4:7" x14ac:dyDescent="0.25">
      <c r="D26" s="4"/>
      <c r="G26" s="3">
        <f t="shared" si="0"/>
        <v>0</v>
      </c>
    </row>
    <row r="27" spans="4:7" x14ac:dyDescent="0.25">
      <c r="D27" s="4"/>
      <c r="G27" s="3">
        <f t="shared" si="0"/>
        <v>0</v>
      </c>
    </row>
    <row r="28" spans="4:7" x14ac:dyDescent="0.25">
      <c r="D28" s="4"/>
      <c r="G28" s="3">
        <f t="shared" si="0"/>
        <v>0</v>
      </c>
    </row>
    <row r="29" spans="4:7" x14ac:dyDescent="0.25">
      <c r="D29" s="13"/>
      <c r="G29" s="3">
        <f t="shared" si="0"/>
        <v>0</v>
      </c>
    </row>
    <row r="30" spans="4:7" x14ac:dyDescent="0.25">
      <c r="D30" s="4"/>
      <c r="G30" s="3">
        <f t="shared" si="0"/>
        <v>0</v>
      </c>
    </row>
    <row r="31" spans="4:7" x14ac:dyDescent="0.25">
      <c r="D31" s="4"/>
      <c r="G31" s="3">
        <f t="shared" si="0"/>
        <v>0</v>
      </c>
    </row>
    <row r="32" spans="4:7" x14ac:dyDescent="0.25">
      <c r="D32" s="4"/>
      <c r="G32" s="3">
        <f t="shared" si="0"/>
        <v>0</v>
      </c>
    </row>
    <row r="33" spans="4:7" x14ac:dyDescent="0.25">
      <c r="D33" s="4"/>
      <c r="G33" s="3">
        <f t="shared" si="0"/>
        <v>0</v>
      </c>
    </row>
    <row r="34" spans="4:7" x14ac:dyDescent="0.25">
      <c r="D34" s="4"/>
      <c r="G34" s="3">
        <f t="shared" si="0"/>
        <v>0</v>
      </c>
    </row>
    <row r="35" spans="4:7" x14ac:dyDescent="0.25">
      <c r="D35" s="4"/>
      <c r="G35" s="3">
        <f t="shared" si="0"/>
        <v>0</v>
      </c>
    </row>
    <row r="36" spans="4:7" x14ac:dyDescent="0.25">
      <c r="D36" s="4"/>
      <c r="G36" s="3">
        <f t="shared" si="0"/>
        <v>0</v>
      </c>
    </row>
    <row r="37" spans="4:7" x14ac:dyDescent="0.25">
      <c r="D37" s="13"/>
      <c r="G37" s="3">
        <f t="shared" si="0"/>
        <v>0</v>
      </c>
    </row>
    <row r="38" spans="4:7" x14ac:dyDescent="0.25">
      <c r="D38" s="4"/>
      <c r="G38" s="3">
        <f t="shared" si="0"/>
        <v>0</v>
      </c>
    </row>
    <row r="39" spans="4:7" x14ac:dyDescent="0.25">
      <c r="D39" s="4"/>
      <c r="G39" s="3">
        <f t="shared" si="0"/>
        <v>0</v>
      </c>
    </row>
    <row r="40" spans="4:7" x14ac:dyDescent="0.25">
      <c r="D40" s="4"/>
      <c r="G40" s="3">
        <f t="shared" si="0"/>
        <v>0</v>
      </c>
    </row>
    <row r="41" spans="4:7" x14ac:dyDescent="0.25">
      <c r="D41" s="4"/>
      <c r="G41" s="3">
        <f t="shared" si="0"/>
        <v>0</v>
      </c>
    </row>
    <row r="42" spans="4:7" x14ac:dyDescent="0.25">
      <c r="D42" s="4"/>
      <c r="G42" s="3">
        <f t="shared" si="0"/>
        <v>0</v>
      </c>
    </row>
    <row r="43" spans="4:7" x14ac:dyDescent="0.25">
      <c r="D43" s="4"/>
      <c r="G43" s="3">
        <f t="shared" si="0"/>
        <v>0</v>
      </c>
    </row>
    <row r="44" spans="4:7" x14ac:dyDescent="0.25">
      <c r="D44" s="4"/>
      <c r="G44" s="3">
        <f t="shared" si="0"/>
        <v>0</v>
      </c>
    </row>
    <row r="45" spans="4:7" x14ac:dyDescent="0.25">
      <c r="D45" s="4"/>
      <c r="G45" s="3">
        <f t="shared" si="0"/>
        <v>0</v>
      </c>
    </row>
    <row r="46" spans="4:7" x14ac:dyDescent="0.25">
      <c r="D46" s="4"/>
      <c r="G46" s="3">
        <f t="shared" si="0"/>
        <v>0</v>
      </c>
    </row>
    <row r="47" spans="4:7" x14ac:dyDescent="0.25">
      <c r="D47" s="4"/>
      <c r="G47" s="3">
        <f t="shared" si="0"/>
        <v>0</v>
      </c>
    </row>
    <row r="48" spans="4:7" x14ac:dyDescent="0.25">
      <c r="D48" s="4"/>
      <c r="G48" s="3">
        <f t="shared" si="0"/>
        <v>0</v>
      </c>
    </row>
    <row r="49" spans="4:7" x14ac:dyDescent="0.25">
      <c r="D49" s="4"/>
      <c r="G49" s="3">
        <f t="shared" si="0"/>
        <v>0</v>
      </c>
    </row>
    <row r="50" spans="4:7" x14ac:dyDescent="0.25">
      <c r="D50" s="4"/>
      <c r="G50" s="3">
        <f t="shared" si="0"/>
        <v>0</v>
      </c>
    </row>
    <row r="51" spans="4:7" x14ac:dyDescent="0.25">
      <c r="D51" s="4"/>
      <c r="G51" s="3">
        <f t="shared" si="0"/>
        <v>0</v>
      </c>
    </row>
    <row r="52" spans="4:7" x14ac:dyDescent="0.25">
      <c r="D52" s="4"/>
      <c r="G52" s="3">
        <f t="shared" si="0"/>
        <v>0</v>
      </c>
    </row>
    <row r="53" spans="4:7" x14ac:dyDescent="0.25">
      <c r="D53" s="4"/>
      <c r="G53" s="3">
        <f t="shared" si="0"/>
        <v>0</v>
      </c>
    </row>
    <row r="54" spans="4:7" x14ac:dyDescent="0.25">
      <c r="D54" s="4"/>
      <c r="G54" s="3">
        <f t="shared" si="0"/>
        <v>0</v>
      </c>
    </row>
    <row r="55" spans="4:7" x14ac:dyDescent="0.25">
      <c r="D55" s="4"/>
      <c r="G55" s="3">
        <f t="shared" si="0"/>
        <v>0</v>
      </c>
    </row>
    <row r="56" spans="4:7" x14ac:dyDescent="0.25">
      <c r="D56" s="4"/>
      <c r="G56" s="3">
        <f t="shared" si="0"/>
        <v>0</v>
      </c>
    </row>
    <row r="57" spans="4:7" x14ac:dyDescent="0.25">
      <c r="D57" s="4"/>
      <c r="G57" s="3">
        <f t="shared" si="0"/>
        <v>0</v>
      </c>
    </row>
    <row r="58" spans="4:7" x14ac:dyDescent="0.25">
      <c r="D58" s="4"/>
      <c r="G58" s="3">
        <f t="shared" si="0"/>
        <v>0</v>
      </c>
    </row>
    <row r="59" spans="4:7" x14ac:dyDescent="0.25">
      <c r="D59" s="4"/>
      <c r="G59" s="3">
        <f t="shared" si="0"/>
        <v>0</v>
      </c>
    </row>
    <row r="60" spans="4:7" x14ac:dyDescent="0.25">
      <c r="D60" s="4"/>
    </row>
    <row r="61" spans="4:7" x14ac:dyDescent="0.25">
      <c r="D61" s="4"/>
    </row>
    <row r="62" spans="4:7" x14ac:dyDescent="0.25">
      <c r="D62" s="4"/>
    </row>
    <row r="63" spans="4:7" x14ac:dyDescent="0.25">
      <c r="D63" s="4"/>
    </row>
    <row r="64" spans="4:7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3"/>
    </row>
    <row r="105" spans="4:4" x14ac:dyDescent="0.25">
      <c r="D105" s="3"/>
    </row>
    <row r="106" spans="4:4" x14ac:dyDescent="0.25">
      <c r="D106" s="3"/>
    </row>
    <row r="107" spans="4:4" x14ac:dyDescent="0.25">
      <c r="D107" s="3"/>
    </row>
    <row r="108" spans="4:4" x14ac:dyDescent="0.25">
      <c r="D108" s="3"/>
    </row>
    <row r="109" spans="4:4" x14ac:dyDescent="0.25">
      <c r="D109" s="3"/>
    </row>
    <row r="110" spans="4:4" x14ac:dyDescent="0.25">
      <c r="D110" s="3"/>
    </row>
    <row r="111" spans="4:4" x14ac:dyDescent="0.25">
      <c r="D111" s="3"/>
    </row>
    <row r="112" spans="4:4" x14ac:dyDescent="0.25">
      <c r="D112" s="3"/>
    </row>
    <row r="113" spans="4:4" x14ac:dyDescent="0.25">
      <c r="D113" s="3"/>
    </row>
    <row r="114" spans="4:4" x14ac:dyDescent="0.25">
      <c r="D114" s="3"/>
    </row>
    <row r="115" spans="4:4" x14ac:dyDescent="0.25">
      <c r="D115" s="3"/>
    </row>
    <row r="116" spans="4:4" x14ac:dyDescent="0.25">
      <c r="D116" s="3"/>
    </row>
    <row r="117" spans="4:4" x14ac:dyDescent="0.25">
      <c r="D117" s="3"/>
    </row>
    <row r="118" spans="4:4" x14ac:dyDescent="0.25">
      <c r="D118" s="3"/>
    </row>
  </sheetData>
  <sortState xmlns:xlrd2="http://schemas.microsoft.com/office/spreadsheetml/2017/richdata2" ref="B2:D118">
    <sortCondition ref="B2:B118"/>
    <sortCondition ref="C2:C11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2026 Summary</vt:lpstr>
      <vt:lpstr>Jan 2026</vt:lpstr>
      <vt:lpstr>Feb 2026</vt:lpstr>
      <vt:lpstr>Mar 2026</vt:lpstr>
      <vt:lpstr>Apr 2026</vt:lpstr>
      <vt:lpstr>May 2026</vt:lpstr>
      <vt:lpstr>Jun 2026</vt:lpstr>
      <vt:lpstr>Jul 2026</vt:lpstr>
      <vt:lpstr>Aug 2026</vt:lpstr>
      <vt:lpstr>Sep 2026</vt:lpstr>
      <vt:lpstr>Oct 2026</vt:lpstr>
      <vt:lpstr>Nov 2026</vt:lpstr>
      <vt:lpstr>Dec 2026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Désiré Pomar</dc:creator>
  <cp:lastModifiedBy>Thierry Désiré Pomar</cp:lastModifiedBy>
  <dcterms:created xsi:type="dcterms:W3CDTF">2026-04-22T10:58:09Z</dcterms:created>
  <dcterms:modified xsi:type="dcterms:W3CDTF">2026-07-08T13:02:01Z</dcterms:modified>
</cp:coreProperties>
</file>